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2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3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6" customWidth="1" min="6" max="6"/>
    <col width="18" customWidth="1" min="7" max="7"/>
  </cols>
  <sheetData>
    <row r="1">
      <c r="A1" s="1" t="inlineStr">
        <is>
          <t>단기 근로계약자 인건비 소요액 계산기 (엑셀 템플릿)</t>
        </is>
      </c>
    </row>
    <row r="3">
      <c r="A3" s="2" t="inlineStr">
        <is>
          <t>시작일</t>
        </is>
      </c>
      <c r="B3" t="inlineStr"/>
    </row>
    <row r="4">
      <c r="A4" s="2" t="inlineStr">
        <is>
          <t>종료일</t>
        </is>
      </c>
      <c r="B4" t="inlineStr"/>
    </row>
    <row r="5">
      <c r="A5" s="2" t="inlineStr">
        <is>
          <t>시급(원)</t>
        </is>
      </c>
      <c r="B5" t="n">
        <v>11000</v>
      </c>
    </row>
    <row r="6">
      <c r="A6" s="2" t="inlineStr">
        <is>
          <t>휴게시간(분)</t>
        </is>
      </c>
      <c r="B6" t="n">
        <v>30</v>
      </c>
    </row>
    <row r="7">
      <c r="A7" s="2" t="inlineStr">
        <is>
          <t>휴게시간 차감 적용</t>
        </is>
      </c>
      <c r="B7" t="b">
        <v>1</v>
      </c>
    </row>
    <row r="8">
      <c r="A8" s="2" t="inlineStr">
        <is>
          <t>예산 잔액(원)</t>
        </is>
      </c>
      <c r="B8" t="inlineStr"/>
    </row>
    <row r="10">
      <c r="A10" s="3" t="inlineStr">
        <is>
          <t>요일</t>
        </is>
      </c>
      <c r="B10" s="3" t="inlineStr">
        <is>
          <t>근무여부(1/0)</t>
        </is>
      </c>
      <c r="C10" s="3" t="inlineStr">
        <is>
          <t>하루 소정시간(시간)</t>
        </is>
      </c>
      <c r="D10" s="3" t="inlineStr">
        <is>
          <t>유급시간(휴게 반영)</t>
        </is>
      </c>
      <c r="F10" s="2" t="inlineStr">
        <is>
          <t>주 소정 근무시간 합계</t>
        </is>
      </c>
    </row>
    <row r="11">
      <c r="A11" s="4" t="inlineStr">
        <is>
          <t>월</t>
        </is>
      </c>
      <c r="B11" s="4" t="n">
        <v>1</v>
      </c>
      <c r="C11" s="5" t="n">
        <v>4</v>
      </c>
      <c r="D11" s="5">
        <f>IF(B11=1, MAX(0, C11 - IF($B$7, $B$6/60, 0)), 0)</f>
        <v/>
      </c>
      <c r="F11" t="inlineStr">
        <is>
          <t>휴게 전(시간)</t>
        </is>
      </c>
      <c r="G11" s="6">
        <f>SUM(C11:C17)</f>
        <v/>
      </c>
    </row>
    <row r="12">
      <c r="A12" s="4" t="inlineStr">
        <is>
          <t>화</t>
        </is>
      </c>
      <c r="B12" s="4" t="n">
        <v>1</v>
      </c>
      <c r="C12" s="5" t="n">
        <v>4</v>
      </c>
      <c r="D12" s="5">
        <f>IF(B12=1, MAX(0, C12 - IF($B$7, $B$6/60, 0)), 0)</f>
        <v/>
      </c>
      <c r="F12" t="inlineStr">
        <is>
          <t>유급 기준(시간)</t>
        </is>
      </c>
      <c r="G12" s="6">
        <f>SUM(D11:D17)</f>
        <v/>
      </c>
    </row>
    <row r="13">
      <c r="A13" s="4" t="inlineStr">
        <is>
          <t>수</t>
        </is>
      </c>
      <c r="B13" s="4" t="n">
        <v>1</v>
      </c>
      <c r="C13" s="5" t="n">
        <v>4</v>
      </c>
      <c r="D13" s="5">
        <f>IF(B13=1, MAX(0, C13 - IF($B$7, $B$6/60, 0)), 0)</f>
        <v/>
      </c>
    </row>
    <row r="14">
      <c r="A14" s="4" t="inlineStr">
        <is>
          <t>목</t>
        </is>
      </c>
      <c r="B14" s="4" t="n">
        <v>1</v>
      </c>
      <c r="C14" s="5" t="n">
        <v>4</v>
      </c>
      <c r="D14" s="5">
        <f>IF(B14=1, MAX(0, C14 - IF($B$7, $B$6/60, 0)), 0)</f>
        <v/>
      </c>
    </row>
    <row r="15">
      <c r="A15" s="4" t="inlineStr">
        <is>
          <t>금</t>
        </is>
      </c>
      <c r="B15" s="4" t="n">
        <v>1</v>
      </c>
      <c r="C15" s="5" t="n">
        <v>4</v>
      </c>
      <c r="D15" s="5">
        <f>IF(B15=1, MAX(0, C15 - IF($B$7, $B$6/60, 0)), 0)</f>
        <v/>
      </c>
    </row>
    <row r="16">
      <c r="A16" s="4" t="inlineStr">
        <is>
          <t>토</t>
        </is>
      </c>
      <c r="B16" s="4" t="n">
        <v>0</v>
      </c>
      <c r="C16" s="5" t="n">
        <v>0</v>
      </c>
      <c r="D16" s="5">
        <f>IF(B16=1, MAX(0, C16 - IF($B$7, $B$6/60, 0)), 0)</f>
        <v/>
      </c>
    </row>
    <row r="17">
      <c r="A17" s="4" t="inlineStr">
        <is>
          <t>일</t>
        </is>
      </c>
      <c r="B17" s="4" t="n">
        <v>0</v>
      </c>
      <c r="C17" s="5" t="n">
        <v>0</v>
      </c>
      <c r="D17" s="5">
        <f>IF(B17=1, MAX(0, C17 - IF($B$7, $B$6/60, 0)), 0)</f>
        <v/>
      </c>
    </row>
    <row r="20">
      <c r="A20" s="7" t="inlineStr">
        <is>
          <t>메모</t>
        </is>
      </c>
    </row>
    <row r="21">
      <c r="A21" s="7" t="inlineStr">
        <is>
          <t>· B7=TRUE인 경우에만 휴게시간(분)을 일괄 차감하여 유급시간을 계산합니다.</t>
        </is>
      </c>
    </row>
    <row r="22">
      <c r="A22" s="7" t="inlineStr">
        <is>
          <t>· 'Calendar' 시트에서 시작일~종료일까지를 일자별로 전개해 실제 총 유급시간과 주휴수당을 계산합니다.</t>
        </is>
      </c>
    </row>
    <row r="23">
      <c r="A23" s="7" t="inlineStr">
        <is>
          <t>· 'Summary' 시트에서 기본급/주휴수당/총액/예산잔액을 확인하세요.</t>
        </is>
      </c>
    </row>
  </sheetData>
  <dataValidations count="1">
    <dataValidation sqref="B7" showErrorMessage="1" showDropDown="1" showInput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8" customWidth="1" min="5" max="5"/>
    <col width="16" customWidth="1" min="6" max="6"/>
    <col width="14" customWidth="1" min="7" max="7"/>
  </cols>
  <sheetData>
    <row r="1">
      <c r="A1" s="3" t="inlineStr">
        <is>
          <t>날짜</t>
        </is>
      </c>
      <c r="B1" s="3" t="inlineStr">
        <is>
          <t>요일(월=1~일=7)</t>
        </is>
      </c>
      <c r="C1" s="3" t="inlineStr">
        <is>
          <t>근무여부</t>
        </is>
      </c>
      <c r="D1" s="3" t="inlineStr">
        <is>
          <t>휴게전 소정시간</t>
        </is>
      </c>
      <c r="E1" s="3" t="inlineStr">
        <is>
          <t>휴게 반영 유급시간</t>
        </is>
      </c>
      <c r="F1" s="3" t="inlineStr">
        <is>
          <t>주(월요일 날짜)</t>
        </is>
      </c>
      <c r="G1" s="3" t="inlineStr">
        <is>
          <t>일요일여부</t>
        </is>
      </c>
    </row>
    <row r="2">
      <c r="A2" s="4">
        <f>IF(Input!$B$3="","",SEQUENCE(Input!$B$4-Input!$B$3+1,1,Input!$B$3,1))</f>
        <v/>
      </c>
      <c r="B2" s="4">
        <f>IF(A2="","",WEEKDAY(A2,2))</f>
        <v/>
      </c>
      <c r="C2" s="4">
        <f>IF(A2="","",IF(INDEX(Input!$B$11:$B$17, B2)=1, TRUE, FALSE))</f>
        <v/>
      </c>
      <c r="D2" s="5">
        <f>IF(A2="","", IF(C2, INDEX(Input!$C$11:$C$17, B2), 0))</f>
        <v/>
      </c>
      <c r="E2" s="5">
        <f>IF(A2="","", IF(C2, INDEX(Input!$D$11:$D$17, B2), 0))</f>
        <v/>
      </c>
      <c r="F2" s="4">
        <f>IF(A2="","", A2 - (B2-1))</f>
        <v/>
      </c>
      <c r="G2" s="4">
        <f>IF(A2="","", B2=7)</f>
        <v/>
      </c>
    </row>
    <row r="3">
      <c r="A3" s="4" t="n"/>
      <c r="B3" s="4">
        <f>IF(A3="","",WEEKDAY(A3,2))</f>
        <v/>
      </c>
      <c r="C3" s="4">
        <f>IF(A3="","",IF(INDEX(Input!$B$11:$B$17, B3)=1, TRUE, FALSE))</f>
        <v/>
      </c>
      <c r="D3" s="5">
        <f>IF(A3="","", IF(C3, INDEX(Input!$C$11:$C$17, B3), 0))</f>
        <v/>
      </c>
      <c r="E3" s="5">
        <f>IF(A3="","", IF(C3, INDEX(Input!$D$11:$D$17, B3), 0))</f>
        <v/>
      </c>
      <c r="F3" s="4">
        <f>IF(A3="","", A3 - (B3-1))</f>
        <v/>
      </c>
      <c r="G3" s="4">
        <f>IF(A3="","", B3=7)</f>
        <v/>
      </c>
    </row>
    <row r="4">
      <c r="A4" s="4" t="n"/>
      <c r="B4" s="4">
        <f>IF(A4="","",WEEKDAY(A4,2))</f>
        <v/>
      </c>
      <c r="C4" s="4">
        <f>IF(A4="","",IF(INDEX(Input!$B$11:$B$17, B4)=1, TRUE, FALSE))</f>
        <v/>
      </c>
      <c r="D4" s="5">
        <f>IF(A4="","", IF(C4, INDEX(Input!$C$11:$C$17, B4), 0))</f>
        <v/>
      </c>
      <c r="E4" s="5">
        <f>IF(A4="","", IF(C4, INDEX(Input!$D$11:$D$17, B4), 0))</f>
        <v/>
      </c>
      <c r="F4" s="4">
        <f>IF(A4="","", A4 - (B4-1))</f>
        <v/>
      </c>
      <c r="G4" s="4">
        <f>IF(A4="","", B4=7)</f>
        <v/>
      </c>
    </row>
    <row r="5">
      <c r="A5" s="4" t="n"/>
      <c r="B5" s="4">
        <f>IF(A5="","",WEEKDAY(A5,2))</f>
        <v/>
      </c>
      <c r="C5" s="4">
        <f>IF(A5="","",IF(INDEX(Input!$B$11:$B$17, B5)=1, TRUE, FALSE))</f>
        <v/>
      </c>
      <c r="D5" s="5">
        <f>IF(A5="","", IF(C5, INDEX(Input!$C$11:$C$17, B5), 0))</f>
        <v/>
      </c>
      <c r="E5" s="5">
        <f>IF(A5="","", IF(C5, INDEX(Input!$D$11:$D$17, B5), 0))</f>
        <v/>
      </c>
      <c r="F5" s="4">
        <f>IF(A5="","", A5 - (B5-1))</f>
        <v/>
      </c>
      <c r="G5" s="4">
        <f>IF(A5="","", B5=7)</f>
        <v/>
      </c>
    </row>
    <row r="6">
      <c r="A6" s="4" t="n"/>
      <c r="B6" s="4">
        <f>IF(A6="","",WEEKDAY(A6,2))</f>
        <v/>
      </c>
      <c r="C6" s="4">
        <f>IF(A6="","",IF(INDEX(Input!$B$11:$B$17, B6)=1, TRUE, FALSE))</f>
        <v/>
      </c>
      <c r="D6" s="5">
        <f>IF(A6="","", IF(C6, INDEX(Input!$C$11:$C$17, B6), 0))</f>
        <v/>
      </c>
      <c r="E6" s="5">
        <f>IF(A6="","", IF(C6, INDEX(Input!$D$11:$D$17, B6), 0))</f>
        <v/>
      </c>
      <c r="F6" s="4">
        <f>IF(A6="","", A6 - (B6-1))</f>
        <v/>
      </c>
      <c r="G6" s="4">
        <f>IF(A6="","", B6=7)</f>
        <v/>
      </c>
    </row>
    <row r="7">
      <c r="A7" s="4" t="n"/>
      <c r="B7" s="4">
        <f>IF(A7="","",WEEKDAY(A7,2))</f>
        <v/>
      </c>
      <c r="C7" s="4">
        <f>IF(A7="","",IF(INDEX(Input!$B$11:$B$17, B7)=1, TRUE, FALSE))</f>
        <v/>
      </c>
      <c r="D7" s="5">
        <f>IF(A7="","", IF(C7, INDEX(Input!$C$11:$C$17, B7), 0))</f>
        <v/>
      </c>
      <c r="E7" s="5">
        <f>IF(A7="","", IF(C7, INDEX(Input!$D$11:$D$17, B7), 0))</f>
        <v/>
      </c>
      <c r="F7" s="4">
        <f>IF(A7="","", A7 - (B7-1))</f>
        <v/>
      </c>
      <c r="G7" s="4">
        <f>IF(A7="","", B7=7)</f>
        <v/>
      </c>
    </row>
    <row r="8">
      <c r="A8" s="4" t="n"/>
      <c r="B8" s="4">
        <f>IF(A8="","",WEEKDAY(A8,2))</f>
        <v/>
      </c>
      <c r="C8" s="4">
        <f>IF(A8="","",IF(INDEX(Input!$B$11:$B$17, B8)=1, TRUE, FALSE))</f>
        <v/>
      </c>
      <c r="D8" s="5">
        <f>IF(A8="","", IF(C8, INDEX(Input!$C$11:$C$17, B8), 0))</f>
        <v/>
      </c>
      <c r="E8" s="5">
        <f>IF(A8="","", IF(C8, INDEX(Input!$D$11:$D$17, B8), 0))</f>
        <v/>
      </c>
      <c r="F8" s="4">
        <f>IF(A8="","", A8 - (B8-1))</f>
        <v/>
      </c>
      <c r="G8" s="4">
        <f>IF(A8="","", B8=7)</f>
        <v/>
      </c>
    </row>
    <row r="9">
      <c r="A9" s="4" t="n"/>
      <c r="B9" s="4">
        <f>IF(A9="","",WEEKDAY(A9,2))</f>
        <v/>
      </c>
      <c r="C9" s="4">
        <f>IF(A9="","",IF(INDEX(Input!$B$11:$B$17, B9)=1, TRUE, FALSE))</f>
        <v/>
      </c>
      <c r="D9" s="5">
        <f>IF(A9="","", IF(C9, INDEX(Input!$C$11:$C$17, B9), 0))</f>
        <v/>
      </c>
      <c r="E9" s="5">
        <f>IF(A9="","", IF(C9, INDEX(Input!$D$11:$D$17, B9), 0))</f>
        <v/>
      </c>
      <c r="F9" s="4">
        <f>IF(A9="","", A9 - (B9-1))</f>
        <v/>
      </c>
      <c r="G9" s="4">
        <f>IF(A9="","", B9=7)</f>
        <v/>
      </c>
    </row>
    <row r="10">
      <c r="A10" s="4" t="n"/>
      <c r="B10" s="4">
        <f>IF(A10="","",WEEKDAY(A10,2))</f>
        <v/>
      </c>
      <c r="C10" s="4">
        <f>IF(A10="","",IF(INDEX(Input!$B$11:$B$17, B10)=1, TRUE, FALSE))</f>
        <v/>
      </c>
      <c r="D10" s="5">
        <f>IF(A10="","", IF(C10, INDEX(Input!$C$11:$C$17, B10), 0))</f>
        <v/>
      </c>
      <c r="E10" s="5">
        <f>IF(A10="","", IF(C10, INDEX(Input!$D$11:$D$17, B10), 0))</f>
        <v/>
      </c>
      <c r="F10" s="4">
        <f>IF(A10="","", A10 - (B10-1))</f>
        <v/>
      </c>
      <c r="G10" s="4">
        <f>IF(A10="","", B10=7)</f>
        <v/>
      </c>
    </row>
    <row r="11">
      <c r="A11" s="4" t="n"/>
      <c r="B11" s="4">
        <f>IF(A11="","",WEEKDAY(A11,2))</f>
        <v/>
      </c>
      <c r="C11" s="4">
        <f>IF(A11="","",IF(INDEX(Input!$B$11:$B$17, B11)=1, TRUE, FALSE))</f>
        <v/>
      </c>
      <c r="D11" s="5">
        <f>IF(A11="","", IF(C11, INDEX(Input!$C$11:$C$17, B11), 0))</f>
        <v/>
      </c>
      <c r="E11" s="5">
        <f>IF(A11="","", IF(C11, INDEX(Input!$D$11:$D$17, B11), 0))</f>
        <v/>
      </c>
      <c r="F11" s="4">
        <f>IF(A11="","", A11 - (B11-1))</f>
        <v/>
      </c>
      <c r="G11" s="4">
        <f>IF(A11="","", B11=7)</f>
        <v/>
      </c>
    </row>
    <row r="12">
      <c r="A12" s="4" t="n"/>
      <c r="B12" s="4">
        <f>IF(A12="","",WEEKDAY(A12,2))</f>
        <v/>
      </c>
      <c r="C12" s="4">
        <f>IF(A12="","",IF(INDEX(Input!$B$11:$B$17, B12)=1, TRUE, FALSE))</f>
        <v/>
      </c>
      <c r="D12" s="5">
        <f>IF(A12="","", IF(C12, INDEX(Input!$C$11:$C$17, B12), 0))</f>
        <v/>
      </c>
      <c r="E12" s="5">
        <f>IF(A12="","", IF(C12, INDEX(Input!$D$11:$D$17, B12), 0))</f>
        <v/>
      </c>
      <c r="F12" s="4">
        <f>IF(A12="","", A12 - (B12-1))</f>
        <v/>
      </c>
      <c r="G12" s="4">
        <f>IF(A12="","", B12=7)</f>
        <v/>
      </c>
    </row>
    <row r="13">
      <c r="A13" s="4" t="n"/>
      <c r="B13" s="4">
        <f>IF(A13="","",WEEKDAY(A13,2))</f>
        <v/>
      </c>
      <c r="C13" s="4">
        <f>IF(A13="","",IF(INDEX(Input!$B$11:$B$17, B13)=1, TRUE, FALSE))</f>
        <v/>
      </c>
      <c r="D13" s="5">
        <f>IF(A13="","", IF(C13, INDEX(Input!$C$11:$C$17, B13), 0))</f>
        <v/>
      </c>
      <c r="E13" s="5">
        <f>IF(A13="","", IF(C13, INDEX(Input!$D$11:$D$17, B13), 0))</f>
        <v/>
      </c>
      <c r="F13" s="4">
        <f>IF(A13="","", A13 - (B13-1))</f>
        <v/>
      </c>
      <c r="G13" s="4">
        <f>IF(A13="","", B13=7)</f>
        <v/>
      </c>
    </row>
    <row r="14">
      <c r="A14" s="4" t="n"/>
      <c r="B14" s="4">
        <f>IF(A14="","",WEEKDAY(A14,2))</f>
        <v/>
      </c>
      <c r="C14" s="4">
        <f>IF(A14="","",IF(INDEX(Input!$B$11:$B$17, B14)=1, TRUE, FALSE))</f>
        <v/>
      </c>
      <c r="D14" s="5">
        <f>IF(A14="","", IF(C14, INDEX(Input!$C$11:$C$17, B14), 0))</f>
        <v/>
      </c>
      <c r="E14" s="5">
        <f>IF(A14="","", IF(C14, INDEX(Input!$D$11:$D$17, B14), 0))</f>
        <v/>
      </c>
      <c r="F14" s="4">
        <f>IF(A14="","", A14 - (B14-1))</f>
        <v/>
      </c>
      <c r="G14" s="4">
        <f>IF(A14="","", B14=7)</f>
        <v/>
      </c>
    </row>
    <row r="15">
      <c r="A15" s="4" t="n"/>
      <c r="B15" s="4">
        <f>IF(A15="","",WEEKDAY(A15,2))</f>
        <v/>
      </c>
      <c r="C15" s="4">
        <f>IF(A15="","",IF(INDEX(Input!$B$11:$B$17, B15)=1, TRUE, FALSE))</f>
        <v/>
      </c>
      <c r="D15" s="5">
        <f>IF(A15="","", IF(C15, INDEX(Input!$C$11:$C$17, B15), 0))</f>
        <v/>
      </c>
      <c r="E15" s="5">
        <f>IF(A15="","", IF(C15, INDEX(Input!$D$11:$D$17, B15), 0))</f>
        <v/>
      </c>
      <c r="F15" s="4">
        <f>IF(A15="","", A15 - (B15-1))</f>
        <v/>
      </c>
      <c r="G15" s="4">
        <f>IF(A15="","", B15=7)</f>
        <v/>
      </c>
    </row>
    <row r="16">
      <c r="A16" s="4" t="n"/>
      <c r="B16" s="4">
        <f>IF(A16="","",WEEKDAY(A16,2))</f>
        <v/>
      </c>
      <c r="C16" s="4">
        <f>IF(A16="","",IF(INDEX(Input!$B$11:$B$17, B16)=1, TRUE, FALSE))</f>
        <v/>
      </c>
      <c r="D16" s="5">
        <f>IF(A16="","", IF(C16, INDEX(Input!$C$11:$C$17, B16), 0))</f>
        <v/>
      </c>
      <c r="E16" s="5">
        <f>IF(A16="","", IF(C16, INDEX(Input!$D$11:$D$17, B16), 0))</f>
        <v/>
      </c>
      <c r="F16" s="4">
        <f>IF(A16="","", A16 - (B16-1))</f>
        <v/>
      </c>
      <c r="G16" s="4">
        <f>IF(A16="","", B16=7)</f>
        <v/>
      </c>
    </row>
    <row r="17">
      <c r="A17" s="4" t="n"/>
      <c r="B17" s="4">
        <f>IF(A17="","",WEEKDAY(A17,2))</f>
        <v/>
      </c>
      <c r="C17" s="4">
        <f>IF(A17="","",IF(INDEX(Input!$B$11:$B$17, B17)=1, TRUE, FALSE))</f>
        <v/>
      </c>
      <c r="D17" s="5">
        <f>IF(A17="","", IF(C17, INDEX(Input!$C$11:$C$17, B17), 0))</f>
        <v/>
      </c>
      <c r="E17" s="5">
        <f>IF(A17="","", IF(C17, INDEX(Input!$D$11:$D$17, B17), 0))</f>
        <v/>
      </c>
      <c r="F17" s="4">
        <f>IF(A17="","", A17 - (B17-1))</f>
        <v/>
      </c>
      <c r="G17" s="4">
        <f>IF(A17="","", B17=7)</f>
        <v/>
      </c>
    </row>
    <row r="18">
      <c r="A18" s="4" t="n"/>
      <c r="B18" s="4">
        <f>IF(A18="","",WEEKDAY(A18,2))</f>
        <v/>
      </c>
      <c r="C18" s="4">
        <f>IF(A18="","",IF(INDEX(Input!$B$11:$B$17, B18)=1, TRUE, FALSE))</f>
        <v/>
      </c>
      <c r="D18" s="5">
        <f>IF(A18="","", IF(C18, INDEX(Input!$C$11:$C$17, B18), 0))</f>
        <v/>
      </c>
      <c r="E18" s="5">
        <f>IF(A18="","", IF(C18, INDEX(Input!$D$11:$D$17, B18), 0))</f>
        <v/>
      </c>
      <c r="F18" s="4">
        <f>IF(A18="","", A18 - (B18-1))</f>
        <v/>
      </c>
      <c r="G18" s="4">
        <f>IF(A18="","", B18=7)</f>
        <v/>
      </c>
    </row>
    <row r="19">
      <c r="A19" s="4" t="n"/>
      <c r="B19" s="4">
        <f>IF(A19="","",WEEKDAY(A19,2))</f>
        <v/>
      </c>
      <c r="C19" s="4">
        <f>IF(A19="","",IF(INDEX(Input!$B$11:$B$17, B19)=1, TRUE, FALSE))</f>
        <v/>
      </c>
      <c r="D19" s="5">
        <f>IF(A19="","", IF(C19, INDEX(Input!$C$11:$C$17, B19), 0))</f>
        <v/>
      </c>
      <c r="E19" s="5">
        <f>IF(A19="","", IF(C19, INDEX(Input!$D$11:$D$17, B19), 0))</f>
        <v/>
      </c>
      <c r="F19" s="4">
        <f>IF(A19="","", A19 - (B19-1))</f>
        <v/>
      </c>
      <c r="G19" s="4">
        <f>IF(A19="","", B19=7)</f>
        <v/>
      </c>
    </row>
    <row r="20">
      <c r="A20" s="4" t="n"/>
      <c r="B20" s="4">
        <f>IF(A20="","",WEEKDAY(A20,2))</f>
        <v/>
      </c>
      <c r="C20" s="4">
        <f>IF(A20="","",IF(INDEX(Input!$B$11:$B$17, B20)=1, TRUE, FALSE))</f>
        <v/>
      </c>
      <c r="D20" s="5">
        <f>IF(A20="","", IF(C20, INDEX(Input!$C$11:$C$17, B20), 0))</f>
        <v/>
      </c>
      <c r="E20" s="5">
        <f>IF(A20="","", IF(C20, INDEX(Input!$D$11:$D$17, B20), 0))</f>
        <v/>
      </c>
      <c r="F20" s="4">
        <f>IF(A20="","", A20 - (B20-1))</f>
        <v/>
      </c>
      <c r="G20" s="4">
        <f>IF(A20="","", B20=7)</f>
        <v/>
      </c>
    </row>
    <row r="21">
      <c r="A21" s="4" t="n"/>
      <c r="B21" s="4">
        <f>IF(A21="","",WEEKDAY(A21,2))</f>
        <v/>
      </c>
      <c r="C21" s="4">
        <f>IF(A21="","",IF(INDEX(Input!$B$11:$B$17, B21)=1, TRUE, FALSE))</f>
        <v/>
      </c>
      <c r="D21" s="5">
        <f>IF(A21="","", IF(C21, INDEX(Input!$C$11:$C$17, B21), 0))</f>
        <v/>
      </c>
      <c r="E21" s="5">
        <f>IF(A21="","", IF(C21, INDEX(Input!$D$11:$D$17, B21), 0))</f>
        <v/>
      </c>
      <c r="F21" s="4">
        <f>IF(A21="","", A21 - (B21-1))</f>
        <v/>
      </c>
      <c r="G21" s="4">
        <f>IF(A21="","", B21=7)</f>
        <v/>
      </c>
    </row>
    <row r="22">
      <c r="A22" s="4" t="n"/>
      <c r="B22" s="4">
        <f>IF(A22="","",WEEKDAY(A22,2))</f>
        <v/>
      </c>
      <c r="C22" s="4">
        <f>IF(A22="","",IF(INDEX(Input!$B$11:$B$17, B22)=1, TRUE, FALSE))</f>
        <v/>
      </c>
      <c r="D22" s="5">
        <f>IF(A22="","", IF(C22, INDEX(Input!$C$11:$C$17, B22), 0))</f>
        <v/>
      </c>
      <c r="E22" s="5">
        <f>IF(A22="","", IF(C22, INDEX(Input!$D$11:$D$17, B22), 0))</f>
        <v/>
      </c>
      <c r="F22" s="4">
        <f>IF(A22="","", A22 - (B22-1))</f>
        <v/>
      </c>
      <c r="G22" s="4">
        <f>IF(A22="","", B22=7)</f>
        <v/>
      </c>
    </row>
    <row r="23">
      <c r="A23" s="4" t="n"/>
      <c r="B23" s="4">
        <f>IF(A23="","",WEEKDAY(A23,2))</f>
        <v/>
      </c>
      <c r="C23" s="4">
        <f>IF(A23="","",IF(INDEX(Input!$B$11:$B$17, B23)=1, TRUE, FALSE))</f>
        <v/>
      </c>
      <c r="D23" s="5">
        <f>IF(A23="","", IF(C23, INDEX(Input!$C$11:$C$17, B23), 0))</f>
        <v/>
      </c>
      <c r="E23" s="5">
        <f>IF(A23="","", IF(C23, INDEX(Input!$D$11:$D$17, B23), 0))</f>
        <v/>
      </c>
      <c r="F23" s="4">
        <f>IF(A23="","", A23 - (B23-1))</f>
        <v/>
      </c>
      <c r="G23" s="4">
        <f>IF(A23="","", B23=7)</f>
        <v/>
      </c>
    </row>
    <row r="24">
      <c r="A24" s="4" t="n"/>
      <c r="B24" s="4">
        <f>IF(A24="","",WEEKDAY(A24,2))</f>
        <v/>
      </c>
      <c r="C24" s="4">
        <f>IF(A24="","",IF(INDEX(Input!$B$11:$B$17, B24)=1, TRUE, FALSE))</f>
        <v/>
      </c>
      <c r="D24" s="5">
        <f>IF(A24="","", IF(C24, INDEX(Input!$C$11:$C$17, B24), 0))</f>
        <v/>
      </c>
      <c r="E24" s="5">
        <f>IF(A24="","", IF(C24, INDEX(Input!$D$11:$D$17, B24), 0))</f>
        <v/>
      </c>
      <c r="F24" s="4">
        <f>IF(A24="","", A24 - (B24-1))</f>
        <v/>
      </c>
      <c r="G24" s="4">
        <f>IF(A24="","", B24=7)</f>
        <v/>
      </c>
    </row>
    <row r="25">
      <c r="A25" s="4" t="n"/>
      <c r="B25" s="4">
        <f>IF(A25="","",WEEKDAY(A25,2))</f>
        <v/>
      </c>
      <c r="C25" s="4">
        <f>IF(A25="","",IF(INDEX(Input!$B$11:$B$17, B25)=1, TRUE, FALSE))</f>
        <v/>
      </c>
      <c r="D25" s="5">
        <f>IF(A25="","", IF(C25, INDEX(Input!$C$11:$C$17, B25), 0))</f>
        <v/>
      </c>
      <c r="E25" s="5">
        <f>IF(A25="","", IF(C25, INDEX(Input!$D$11:$D$17, B25), 0))</f>
        <v/>
      </c>
      <c r="F25" s="4">
        <f>IF(A25="","", A25 - (B25-1))</f>
        <v/>
      </c>
      <c r="G25" s="4">
        <f>IF(A25="","", B25=7)</f>
        <v/>
      </c>
    </row>
    <row r="26">
      <c r="A26" s="4" t="n"/>
      <c r="B26" s="4">
        <f>IF(A26="","",WEEKDAY(A26,2))</f>
        <v/>
      </c>
      <c r="C26" s="4">
        <f>IF(A26="","",IF(INDEX(Input!$B$11:$B$17, B26)=1, TRUE, FALSE))</f>
        <v/>
      </c>
      <c r="D26" s="5">
        <f>IF(A26="","", IF(C26, INDEX(Input!$C$11:$C$17, B26), 0))</f>
        <v/>
      </c>
      <c r="E26" s="5">
        <f>IF(A26="","", IF(C26, INDEX(Input!$D$11:$D$17, B26), 0))</f>
        <v/>
      </c>
      <c r="F26" s="4">
        <f>IF(A26="","", A26 - (B26-1))</f>
        <v/>
      </c>
      <c r="G26" s="4">
        <f>IF(A26="","", B26=7)</f>
        <v/>
      </c>
    </row>
    <row r="27">
      <c r="A27" s="4" t="n"/>
      <c r="B27" s="4">
        <f>IF(A27="","",WEEKDAY(A27,2))</f>
        <v/>
      </c>
      <c r="C27" s="4">
        <f>IF(A27="","",IF(INDEX(Input!$B$11:$B$17, B27)=1, TRUE, FALSE))</f>
        <v/>
      </c>
      <c r="D27" s="5">
        <f>IF(A27="","", IF(C27, INDEX(Input!$C$11:$C$17, B27), 0))</f>
        <v/>
      </c>
      <c r="E27" s="5">
        <f>IF(A27="","", IF(C27, INDEX(Input!$D$11:$D$17, B27), 0))</f>
        <v/>
      </c>
      <c r="F27" s="4">
        <f>IF(A27="","", A27 - (B27-1))</f>
        <v/>
      </c>
      <c r="G27" s="4">
        <f>IF(A27="","", B27=7)</f>
        <v/>
      </c>
    </row>
    <row r="28">
      <c r="A28" s="4" t="n"/>
      <c r="B28" s="4">
        <f>IF(A28="","",WEEKDAY(A28,2))</f>
        <v/>
      </c>
      <c r="C28" s="4">
        <f>IF(A28="","",IF(INDEX(Input!$B$11:$B$17, B28)=1, TRUE, FALSE))</f>
        <v/>
      </c>
      <c r="D28" s="5">
        <f>IF(A28="","", IF(C28, INDEX(Input!$C$11:$C$17, B28), 0))</f>
        <v/>
      </c>
      <c r="E28" s="5">
        <f>IF(A28="","", IF(C28, INDEX(Input!$D$11:$D$17, B28), 0))</f>
        <v/>
      </c>
      <c r="F28" s="4">
        <f>IF(A28="","", A28 - (B28-1))</f>
        <v/>
      </c>
      <c r="G28" s="4">
        <f>IF(A28="","", B28=7)</f>
        <v/>
      </c>
    </row>
    <row r="29">
      <c r="A29" s="4" t="n"/>
      <c r="B29" s="4">
        <f>IF(A29="","",WEEKDAY(A29,2))</f>
        <v/>
      </c>
      <c r="C29" s="4">
        <f>IF(A29="","",IF(INDEX(Input!$B$11:$B$17, B29)=1, TRUE, FALSE))</f>
        <v/>
      </c>
      <c r="D29" s="5">
        <f>IF(A29="","", IF(C29, INDEX(Input!$C$11:$C$17, B29), 0))</f>
        <v/>
      </c>
      <c r="E29" s="5">
        <f>IF(A29="","", IF(C29, INDEX(Input!$D$11:$D$17, B29), 0))</f>
        <v/>
      </c>
      <c r="F29" s="4">
        <f>IF(A29="","", A29 - (B29-1))</f>
        <v/>
      </c>
      <c r="G29" s="4">
        <f>IF(A29="","", B29=7)</f>
        <v/>
      </c>
    </row>
    <row r="30">
      <c r="A30" s="4" t="n"/>
      <c r="B30" s="4">
        <f>IF(A30="","",WEEKDAY(A30,2))</f>
        <v/>
      </c>
      <c r="C30" s="4">
        <f>IF(A30="","",IF(INDEX(Input!$B$11:$B$17, B30)=1, TRUE, FALSE))</f>
        <v/>
      </c>
      <c r="D30" s="5">
        <f>IF(A30="","", IF(C30, INDEX(Input!$C$11:$C$17, B30), 0))</f>
        <v/>
      </c>
      <c r="E30" s="5">
        <f>IF(A30="","", IF(C30, INDEX(Input!$D$11:$D$17, B30), 0))</f>
        <v/>
      </c>
      <c r="F30" s="4">
        <f>IF(A30="","", A30 - (B30-1))</f>
        <v/>
      </c>
      <c r="G30" s="4">
        <f>IF(A30="","", B30=7)</f>
        <v/>
      </c>
    </row>
    <row r="31">
      <c r="A31" s="4" t="n"/>
      <c r="B31" s="4">
        <f>IF(A31="","",WEEKDAY(A31,2))</f>
        <v/>
      </c>
      <c r="C31" s="4">
        <f>IF(A31="","",IF(INDEX(Input!$B$11:$B$17, B31)=1, TRUE, FALSE))</f>
        <v/>
      </c>
      <c r="D31" s="5">
        <f>IF(A31="","", IF(C31, INDEX(Input!$C$11:$C$17, B31), 0))</f>
        <v/>
      </c>
      <c r="E31" s="5">
        <f>IF(A31="","", IF(C31, INDEX(Input!$D$11:$D$17, B31), 0))</f>
        <v/>
      </c>
      <c r="F31" s="4">
        <f>IF(A31="","", A31 - (B31-1))</f>
        <v/>
      </c>
      <c r="G31" s="4">
        <f>IF(A31="","", B31=7)</f>
        <v/>
      </c>
    </row>
    <row r="32">
      <c r="A32" s="4" t="n"/>
      <c r="B32" s="4">
        <f>IF(A32="","",WEEKDAY(A32,2))</f>
        <v/>
      </c>
      <c r="C32" s="4">
        <f>IF(A32="","",IF(INDEX(Input!$B$11:$B$17, B32)=1, TRUE, FALSE))</f>
        <v/>
      </c>
      <c r="D32" s="5">
        <f>IF(A32="","", IF(C32, INDEX(Input!$C$11:$C$17, B32), 0))</f>
        <v/>
      </c>
      <c r="E32" s="5">
        <f>IF(A32="","", IF(C32, INDEX(Input!$D$11:$D$17, B32), 0))</f>
        <v/>
      </c>
      <c r="F32" s="4">
        <f>IF(A32="","", A32 - (B32-1))</f>
        <v/>
      </c>
      <c r="G32" s="4">
        <f>IF(A32="","", B32=7)</f>
        <v/>
      </c>
    </row>
    <row r="33">
      <c r="A33" s="4" t="n"/>
      <c r="B33" s="4">
        <f>IF(A33="","",WEEKDAY(A33,2))</f>
        <v/>
      </c>
      <c r="C33" s="4">
        <f>IF(A33="","",IF(INDEX(Input!$B$11:$B$17, B33)=1, TRUE, FALSE))</f>
        <v/>
      </c>
      <c r="D33" s="5">
        <f>IF(A33="","", IF(C33, INDEX(Input!$C$11:$C$17, B33), 0))</f>
        <v/>
      </c>
      <c r="E33" s="5">
        <f>IF(A33="","", IF(C33, INDEX(Input!$D$11:$D$17, B33), 0))</f>
        <v/>
      </c>
      <c r="F33" s="4">
        <f>IF(A33="","", A33 - (B33-1))</f>
        <v/>
      </c>
      <c r="G33" s="4">
        <f>IF(A33="","", B33=7)</f>
        <v/>
      </c>
    </row>
    <row r="34">
      <c r="A34" s="4" t="n"/>
      <c r="B34" s="4">
        <f>IF(A34="","",WEEKDAY(A34,2))</f>
        <v/>
      </c>
      <c r="C34" s="4">
        <f>IF(A34="","",IF(INDEX(Input!$B$11:$B$17, B34)=1, TRUE, FALSE))</f>
        <v/>
      </c>
      <c r="D34" s="5">
        <f>IF(A34="","", IF(C34, INDEX(Input!$C$11:$C$17, B34), 0))</f>
        <v/>
      </c>
      <c r="E34" s="5">
        <f>IF(A34="","", IF(C34, INDEX(Input!$D$11:$D$17, B34), 0))</f>
        <v/>
      </c>
      <c r="F34" s="4">
        <f>IF(A34="","", A34 - (B34-1))</f>
        <v/>
      </c>
      <c r="G34" s="4">
        <f>IF(A34="","", B34=7)</f>
        <v/>
      </c>
    </row>
    <row r="35">
      <c r="A35" s="4" t="n"/>
      <c r="B35" s="4">
        <f>IF(A35="","",WEEKDAY(A35,2))</f>
        <v/>
      </c>
      <c r="C35" s="4">
        <f>IF(A35="","",IF(INDEX(Input!$B$11:$B$17, B35)=1, TRUE, FALSE))</f>
        <v/>
      </c>
      <c r="D35" s="5">
        <f>IF(A35="","", IF(C35, INDEX(Input!$C$11:$C$17, B35), 0))</f>
        <v/>
      </c>
      <c r="E35" s="5">
        <f>IF(A35="","", IF(C35, INDEX(Input!$D$11:$D$17, B35), 0))</f>
        <v/>
      </c>
      <c r="F35" s="4">
        <f>IF(A35="","", A35 - (B35-1))</f>
        <v/>
      </c>
      <c r="G35" s="4">
        <f>IF(A35="","", B35=7)</f>
        <v/>
      </c>
    </row>
    <row r="36">
      <c r="A36" s="4" t="n"/>
      <c r="B36" s="4">
        <f>IF(A36="","",WEEKDAY(A36,2))</f>
        <v/>
      </c>
      <c r="C36" s="4">
        <f>IF(A36="","",IF(INDEX(Input!$B$11:$B$17, B36)=1, TRUE, FALSE))</f>
        <v/>
      </c>
      <c r="D36" s="5">
        <f>IF(A36="","", IF(C36, INDEX(Input!$C$11:$C$17, B36), 0))</f>
        <v/>
      </c>
      <c r="E36" s="5">
        <f>IF(A36="","", IF(C36, INDEX(Input!$D$11:$D$17, B36), 0))</f>
        <v/>
      </c>
      <c r="F36" s="4">
        <f>IF(A36="","", A36 - (B36-1))</f>
        <v/>
      </c>
      <c r="G36" s="4">
        <f>IF(A36="","", B36=7)</f>
        <v/>
      </c>
    </row>
    <row r="37">
      <c r="A37" s="4" t="n"/>
      <c r="B37" s="4">
        <f>IF(A37="","",WEEKDAY(A37,2))</f>
        <v/>
      </c>
      <c r="C37" s="4">
        <f>IF(A37="","",IF(INDEX(Input!$B$11:$B$17, B37)=1, TRUE, FALSE))</f>
        <v/>
      </c>
      <c r="D37" s="5">
        <f>IF(A37="","", IF(C37, INDEX(Input!$C$11:$C$17, B37), 0))</f>
        <v/>
      </c>
      <c r="E37" s="5">
        <f>IF(A37="","", IF(C37, INDEX(Input!$D$11:$D$17, B37), 0))</f>
        <v/>
      </c>
      <c r="F37" s="4">
        <f>IF(A37="","", A37 - (B37-1))</f>
        <v/>
      </c>
      <c r="G37" s="4">
        <f>IF(A37="","", B37=7)</f>
        <v/>
      </c>
    </row>
    <row r="38">
      <c r="A38" s="4" t="n"/>
      <c r="B38" s="4">
        <f>IF(A38="","",WEEKDAY(A38,2))</f>
        <v/>
      </c>
      <c r="C38" s="4">
        <f>IF(A38="","",IF(INDEX(Input!$B$11:$B$17, B38)=1, TRUE, FALSE))</f>
        <v/>
      </c>
      <c r="D38" s="5">
        <f>IF(A38="","", IF(C38, INDEX(Input!$C$11:$C$17, B38), 0))</f>
        <v/>
      </c>
      <c r="E38" s="5">
        <f>IF(A38="","", IF(C38, INDEX(Input!$D$11:$D$17, B38), 0))</f>
        <v/>
      </c>
      <c r="F38" s="4">
        <f>IF(A38="","", A38 - (B38-1))</f>
        <v/>
      </c>
      <c r="G38" s="4">
        <f>IF(A38="","", B38=7)</f>
        <v/>
      </c>
    </row>
    <row r="39">
      <c r="A39" s="4" t="n"/>
      <c r="B39" s="4">
        <f>IF(A39="","",WEEKDAY(A39,2))</f>
        <v/>
      </c>
      <c r="C39" s="4">
        <f>IF(A39="","",IF(INDEX(Input!$B$11:$B$17, B39)=1, TRUE, FALSE))</f>
        <v/>
      </c>
      <c r="D39" s="5">
        <f>IF(A39="","", IF(C39, INDEX(Input!$C$11:$C$17, B39), 0))</f>
        <v/>
      </c>
      <c r="E39" s="5">
        <f>IF(A39="","", IF(C39, INDEX(Input!$D$11:$D$17, B39), 0))</f>
        <v/>
      </c>
      <c r="F39" s="4">
        <f>IF(A39="","", A39 - (B39-1))</f>
        <v/>
      </c>
      <c r="G39" s="4">
        <f>IF(A39="","", B39=7)</f>
        <v/>
      </c>
    </row>
    <row r="40">
      <c r="A40" s="4" t="n"/>
      <c r="B40" s="4">
        <f>IF(A40="","",WEEKDAY(A40,2))</f>
        <v/>
      </c>
      <c r="C40" s="4">
        <f>IF(A40="","",IF(INDEX(Input!$B$11:$B$17, B40)=1, TRUE, FALSE))</f>
        <v/>
      </c>
      <c r="D40" s="5">
        <f>IF(A40="","", IF(C40, INDEX(Input!$C$11:$C$17, B40), 0))</f>
        <v/>
      </c>
      <c r="E40" s="5">
        <f>IF(A40="","", IF(C40, INDEX(Input!$D$11:$D$17, B40), 0))</f>
        <v/>
      </c>
      <c r="F40" s="4">
        <f>IF(A40="","", A40 - (B40-1))</f>
        <v/>
      </c>
      <c r="G40" s="4">
        <f>IF(A40="","", B40=7)</f>
        <v/>
      </c>
    </row>
    <row r="41">
      <c r="A41" s="4" t="n"/>
      <c r="B41" s="4">
        <f>IF(A41="","",WEEKDAY(A41,2))</f>
        <v/>
      </c>
      <c r="C41" s="4">
        <f>IF(A41="","",IF(INDEX(Input!$B$11:$B$17, B41)=1, TRUE, FALSE))</f>
        <v/>
      </c>
      <c r="D41" s="5">
        <f>IF(A41="","", IF(C41, INDEX(Input!$C$11:$C$17, B41), 0))</f>
        <v/>
      </c>
      <c r="E41" s="5">
        <f>IF(A41="","", IF(C41, INDEX(Input!$D$11:$D$17, B41), 0))</f>
        <v/>
      </c>
      <c r="F41" s="4">
        <f>IF(A41="","", A41 - (B41-1))</f>
        <v/>
      </c>
      <c r="G41" s="4">
        <f>IF(A41="","", B41=7)</f>
        <v/>
      </c>
    </row>
    <row r="42">
      <c r="A42" s="4" t="n"/>
      <c r="B42" s="4">
        <f>IF(A42="","",WEEKDAY(A42,2))</f>
        <v/>
      </c>
      <c r="C42" s="4">
        <f>IF(A42="","",IF(INDEX(Input!$B$11:$B$17, B42)=1, TRUE, FALSE))</f>
        <v/>
      </c>
      <c r="D42" s="5">
        <f>IF(A42="","", IF(C42, INDEX(Input!$C$11:$C$17, B42), 0))</f>
        <v/>
      </c>
      <c r="E42" s="5">
        <f>IF(A42="","", IF(C42, INDEX(Input!$D$11:$D$17, B42), 0))</f>
        <v/>
      </c>
      <c r="F42" s="4">
        <f>IF(A42="","", A42 - (B42-1))</f>
        <v/>
      </c>
      <c r="G42" s="4">
        <f>IF(A42="","", B42=7)</f>
        <v/>
      </c>
    </row>
    <row r="43">
      <c r="A43" s="4" t="n"/>
      <c r="B43" s="4">
        <f>IF(A43="","",WEEKDAY(A43,2))</f>
        <v/>
      </c>
      <c r="C43" s="4">
        <f>IF(A43="","",IF(INDEX(Input!$B$11:$B$17, B43)=1, TRUE, FALSE))</f>
        <v/>
      </c>
      <c r="D43" s="5">
        <f>IF(A43="","", IF(C43, INDEX(Input!$C$11:$C$17, B43), 0))</f>
        <v/>
      </c>
      <c r="E43" s="5">
        <f>IF(A43="","", IF(C43, INDEX(Input!$D$11:$D$17, B43), 0))</f>
        <v/>
      </c>
      <c r="F43" s="4">
        <f>IF(A43="","", A43 - (B43-1))</f>
        <v/>
      </c>
      <c r="G43" s="4">
        <f>IF(A43="","", B43=7)</f>
        <v/>
      </c>
    </row>
    <row r="44">
      <c r="A44" s="4" t="n"/>
      <c r="B44" s="4">
        <f>IF(A44="","",WEEKDAY(A44,2))</f>
        <v/>
      </c>
      <c r="C44" s="4">
        <f>IF(A44="","",IF(INDEX(Input!$B$11:$B$17, B44)=1, TRUE, FALSE))</f>
        <v/>
      </c>
      <c r="D44" s="5">
        <f>IF(A44="","", IF(C44, INDEX(Input!$C$11:$C$17, B44), 0))</f>
        <v/>
      </c>
      <c r="E44" s="5">
        <f>IF(A44="","", IF(C44, INDEX(Input!$D$11:$D$17, B44), 0))</f>
        <v/>
      </c>
      <c r="F44" s="4">
        <f>IF(A44="","", A44 - (B44-1))</f>
        <v/>
      </c>
      <c r="G44" s="4">
        <f>IF(A44="","", B44=7)</f>
        <v/>
      </c>
    </row>
    <row r="45">
      <c r="A45" s="4" t="n"/>
      <c r="B45" s="4">
        <f>IF(A45="","",WEEKDAY(A45,2))</f>
        <v/>
      </c>
      <c r="C45" s="4">
        <f>IF(A45="","",IF(INDEX(Input!$B$11:$B$17, B45)=1, TRUE, FALSE))</f>
        <v/>
      </c>
      <c r="D45" s="5">
        <f>IF(A45="","", IF(C45, INDEX(Input!$C$11:$C$17, B45), 0))</f>
        <v/>
      </c>
      <c r="E45" s="5">
        <f>IF(A45="","", IF(C45, INDEX(Input!$D$11:$D$17, B45), 0))</f>
        <v/>
      </c>
      <c r="F45" s="4">
        <f>IF(A45="","", A45 - (B45-1))</f>
        <v/>
      </c>
      <c r="G45" s="4">
        <f>IF(A45="","", B45=7)</f>
        <v/>
      </c>
    </row>
    <row r="46">
      <c r="A46" s="4" t="n"/>
      <c r="B46" s="4">
        <f>IF(A46="","",WEEKDAY(A46,2))</f>
        <v/>
      </c>
      <c r="C46" s="4">
        <f>IF(A46="","",IF(INDEX(Input!$B$11:$B$17, B46)=1, TRUE, FALSE))</f>
        <v/>
      </c>
      <c r="D46" s="5">
        <f>IF(A46="","", IF(C46, INDEX(Input!$C$11:$C$17, B46), 0))</f>
        <v/>
      </c>
      <c r="E46" s="5">
        <f>IF(A46="","", IF(C46, INDEX(Input!$D$11:$D$17, B46), 0))</f>
        <v/>
      </c>
      <c r="F46" s="4">
        <f>IF(A46="","", A46 - (B46-1))</f>
        <v/>
      </c>
      <c r="G46" s="4">
        <f>IF(A46="","", B46=7)</f>
        <v/>
      </c>
    </row>
    <row r="47">
      <c r="A47" s="4" t="n"/>
      <c r="B47" s="4">
        <f>IF(A47="","",WEEKDAY(A47,2))</f>
        <v/>
      </c>
      <c r="C47" s="4">
        <f>IF(A47="","",IF(INDEX(Input!$B$11:$B$17, B47)=1, TRUE, FALSE))</f>
        <v/>
      </c>
      <c r="D47" s="5">
        <f>IF(A47="","", IF(C47, INDEX(Input!$C$11:$C$17, B47), 0))</f>
        <v/>
      </c>
      <c r="E47" s="5">
        <f>IF(A47="","", IF(C47, INDEX(Input!$D$11:$D$17, B47), 0))</f>
        <v/>
      </c>
      <c r="F47" s="4">
        <f>IF(A47="","", A47 - (B47-1))</f>
        <v/>
      </c>
      <c r="G47" s="4">
        <f>IF(A47="","", B47=7)</f>
        <v/>
      </c>
    </row>
    <row r="48">
      <c r="A48" s="4" t="n"/>
      <c r="B48" s="4">
        <f>IF(A48="","",WEEKDAY(A48,2))</f>
        <v/>
      </c>
      <c r="C48" s="4">
        <f>IF(A48="","",IF(INDEX(Input!$B$11:$B$17, B48)=1, TRUE, FALSE))</f>
        <v/>
      </c>
      <c r="D48" s="5">
        <f>IF(A48="","", IF(C48, INDEX(Input!$C$11:$C$17, B48), 0))</f>
        <v/>
      </c>
      <c r="E48" s="5">
        <f>IF(A48="","", IF(C48, INDEX(Input!$D$11:$D$17, B48), 0))</f>
        <v/>
      </c>
      <c r="F48" s="4">
        <f>IF(A48="","", A48 - (B48-1))</f>
        <v/>
      </c>
      <c r="G48" s="4">
        <f>IF(A48="","", B48=7)</f>
        <v/>
      </c>
    </row>
    <row r="49">
      <c r="A49" s="4" t="n"/>
      <c r="B49" s="4">
        <f>IF(A49="","",WEEKDAY(A49,2))</f>
        <v/>
      </c>
      <c r="C49" s="4">
        <f>IF(A49="","",IF(INDEX(Input!$B$11:$B$17, B49)=1, TRUE, FALSE))</f>
        <v/>
      </c>
      <c r="D49" s="5">
        <f>IF(A49="","", IF(C49, INDEX(Input!$C$11:$C$17, B49), 0))</f>
        <v/>
      </c>
      <c r="E49" s="5">
        <f>IF(A49="","", IF(C49, INDEX(Input!$D$11:$D$17, B49), 0))</f>
        <v/>
      </c>
      <c r="F49" s="4">
        <f>IF(A49="","", A49 - (B49-1))</f>
        <v/>
      </c>
      <c r="G49" s="4">
        <f>IF(A49="","", B49=7)</f>
        <v/>
      </c>
    </row>
    <row r="50">
      <c r="A50" s="4" t="n"/>
      <c r="B50" s="4">
        <f>IF(A50="","",WEEKDAY(A50,2))</f>
        <v/>
      </c>
      <c r="C50" s="4">
        <f>IF(A50="","",IF(INDEX(Input!$B$11:$B$17, B50)=1, TRUE, FALSE))</f>
        <v/>
      </c>
      <c r="D50" s="5">
        <f>IF(A50="","", IF(C50, INDEX(Input!$C$11:$C$17, B50), 0))</f>
        <v/>
      </c>
      <c r="E50" s="5">
        <f>IF(A50="","", IF(C50, INDEX(Input!$D$11:$D$17, B50), 0))</f>
        <v/>
      </c>
      <c r="F50" s="4">
        <f>IF(A50="","", A50 - (B50-1))</f>
        <v/>
      </c>
      <c r="G50" s="4">
        <f>IF(A50="","", B50=7)</f>
        <v/>
      </c>
    </row>
    <row r="51">
      <c r="A51" s="4" t="n"/>
      <c r="B51" s="4">
        <f>IF(A51="","",WEEKDAY(A51,2))</f>
        <v/>
      </c>
      <c r="C51" s="4">
        <f>IF(A51="","",IF(INDEX(Input!$B$11:$B$17, B51)=1, TRUE, FALSE))</f>
        <v/>
      </c>
      <c r="D51" s="5">
        <f>IF(A51="","", IF(C51, INDEX(Input!$C$11:$C$17, B51), 0))</f>
        <v/>
      </c>
      <c r="E51" s="5">
        <f>IF(A51="","", IF(C51, INDEX(Input!$D$11:$D$17, B51), 0))</f>
        <v/>
      </c>
      <c r="F51" s="4">
        <f>IF(A51="","", A51 - (B51-1))</f>
        <v/>
      </c>
      <c r="G51" s="4">
        <f>IF(A51="","", B51=7)</f>
        <v/>
      </c>
    </row>
    <row r="52">
      <c r="A52" s="4" t="n"/>
      <c r="B52" s="4">
        <f>IF(A52="","",WEEKDAY(A52,2))</f>
        <v/>
      </c>
      <c r="C52" s="4">
        <f>IF(A52="","",IF(INDEX(Input!$B$11:$B$17, B52)=1, TRUE, FALSE))</f>
        <v/>
      </c>
      <c r="D52" s="5">
        <f>IF(A52="","", IF(C52, INDEX(Input!$C$11:$C$17, B52), 0))</f>
        <v/>
      </c>
      <c r="E52" s="5">
        <f>IF(A52="","", IF(C52, INDEX(Input!$D$11:$D$17, B52), 0))</f>
        <v/>
      </c>
      <c r="F52" s="4">
        <f>IF(A52="","", A52 - (B52-1))</f>
        <v/>
      </c>
      <c r="G52" s="4">
        <f>IF(A52="","", B52=7)</f>
        <v/>
      </c>
    </row>
    <row r="53">
      <c r="A53" s="4" t="n"/>
      <c r="B53" s="4">
        <f>IF(A53="","",WEEKDAY(A53,2))</f>
        <v/>
      </c>
      <c r="C53" s="4">
        <f>IF(A53="","",IF(INDEX(Input!$B$11:$B$17, B53)=1, TRUE, FALSE))</f>
        <v/>
      </c>
      <c r="D53" s="5">
        <f>IF(A53="","", IF(C53, INDEX(Input!$C$11:$C$17, B53), 0))</f>
        <v/>
      </c>
      <c r="E53" s="5">
        <f>IF(A53="","", IF(C53, INDEX(Input!$D$11:$D$17, B53), 0))</f>
        <v/>
      </c>
      <c r="F53" s="4">
        <f>IF(A53="","", A53 - (B53-1))</f>
        <v/>
      </c>
      <c r="G53" s="4">
        <f>IF(A53="","", B53=7)</f>
        <v/>
      </c>
    </row>
    <row r="54">
      <c r="A54" s="4" t="n"/>
      <c r="B54" s="4">
        <f>IF(A54="","",WEEKDAY(A54,2))</f>
        <v/>
      </c>
      <c r="C54" s="4">
        <f>IF(A54="","",IF(INDEX(Input!$B$11:$B$17, B54)=1, TRUE, FALSE))</f>
        <v/>
      </c>
      <c r="D54" s="5">
        <f>IF(A54="","", IF(C54, INDEX(Input!$C$11:$C$17, B54), 0))</f>
        <v/>
      </c>
      <c r="E54" s="5">
        <f>IF(A54="","", IF(C54, INDEX(Input!$D$11:$D$17, B54), 0))</f>
        <v/>
      </c>
      <c r="F54" s="4">
        <f>IF(A54="","", A54 - (B54-1))</f>
        <v/>
      </c>
      <c r="G54" s="4">
        <f>IF(A54="","", B54=7)</f>
        <v/>
      </c>
    </row>
    <row r="55">
      <c r="A55" s="4" t="n"/>
      <c r="B55" s="4">
        <f>IF(A55="","",WEEKDAY(A55,2))</f>
        <v/>
      </c>
      <c r="C55" s="4">
        <f>IF(A55="","",IF(INDEX(Input!$B$11:$B$17, B55)=1, TRUE, FALSE))</f>
        <v/>
      </c>
      <c r="D55" s="5">
        <f>IF(A55="","", IF(C55, INDEX(Input!$C$11:$C$17, B55), 0))</f>
        <v/>
      </c>
      <c r="E55" s="5">
        <f>IF(A55="","", IF(C55, INDEX(Input!$D$11:$D$17, B55), 0))</f>
        <v/>
      </c>
      <c r="F55" s="4">
        <f>IF(A55="","", A55 - (B55-1))</f>
        <v/>
      </c>
      <c r="G55" s="4">
        <f>IF(A55="","", B55=7)</f>
        <v/>
      </c>
    </row>
    <row r="56">
      <c r="A56" s="4" t="n"/>
      <c r="B56" s="4">
        <f>IF(A56="","",WEEKDAY(A56,2))</f>
        <v/>
      </c>
      <c r="C56" s="4">
        <f>IF(A56="","",IF(INDEX(Input!$B$11:$B$17, B56)=1, TRUE, FALSE))</f>
        <v/>
      </c>
      <c r="D56" s="5">
        <f>IF(A56="","", IF(C56, INDEX(Input!$C$11:$C$17, B56), 0))</f>
        <v/>
      </c>
      <c r="E56" s="5">
        <f>IF(A56="","", IF(C56, INDEX(Input!$D$11:$D$17, B56), 0))</f>
        <v/>
      </c>
      <c r="F56" s="4">
        <f>IF(A56="","", A56 - (B56-1))</f>
        <v/>
      </c>
      <c r="G56" s="4">
        <f>IF(A56="","", B56=7)</f>
        <v/>
      </c>
    </row>
    <row r="57">
      <c r="A57" s="4" t="n"/>
      <c r="B57" s="4">
        <f>IF(A57="","",WEEKDAY(A57,2))</f>
        <v/>
      </c>
      <c r="C57" s="4">
        <f>IF(A57="","",IF(INDEX(Input!$B$11:$B$17, B57)=1, TRUE, FALSE))</f>
        <v/>
      </c>
      <c r="D57" s="5">
        <f>IF(A57="","", IF(C57, INDEX(Input!$C$11:$C$17, B57), 0))</f>
        <v/>
      </c>
      <c r="E57" s="5">
        <f>IF(A57="","", IF(C57, INDEX(Input!$D$11:$D$17, B57), 0))</f>
        <v/>
      </c>
      <c r="F57" s="4">
        <f>IF(A57="","", A57 - (B57-1))</f>
        <v/>
      </c>
      <c r="G57" s="4">
        <f>IF(A57="","", B57=7)</f>
        <v/>
      </c>
    </row>
    <row r="58">
      <c r="A58" s="4" t="n"/>
      <c r="B58" s="4">
        <f>IF(A58="","",WEEKDAY(A58,2))</f>
        <v/>
      </c>
      <c r="C58" s="4">
        <f>IF(A58="","",IF(INDEX(Input!$B$11:$B$17, B58)=1, TRUE, FALSE))</f>
        <v/>
      </c>
      <c r="D58" s="5">
        <f>IF(A58="","", IF(C58, INDEX(Input!$C$11:$C$17, B58), 0))</f>
        <v/>
      </c>
      <c r="E58" s="5">
        <f>IF(A58="","", IF(C58, INDEX(Input!$D$11:$D$17, B58), 0))</f>
        <v/>
      </c>
      <c r="F58" s="4">
        <f>IF(A58="","", A58 - (B58-1))</f>
        <v/>
      </c>
      <c r="G58" s="4">
        <f>IF(A58="","", B58=7)</f>
        <v/>
      </c>
    </row>
    <row r="59">
      <c r="A59" s="4" t="n"/>
      <c r="B59" s="4">
        <f>IF(A59="","",WEEKDAY(A59,2))</f>
        <v/>
      </c>
      <c r="C59" s="4">
        <f>IF(A59="","",IF(INDEX(Input!$B$11:$B$17, B59)=1, TRUE, FALSE))</f>
        <v/>
      </c>
      <c r="D59" s="5">
        <f>IF(A59="","", IF(C59, INDEX(Input!$C$11:$C$17, B59), 0))</f>
        <v/>
      </c>
      <c r="E59" s="5">
        <f>IF(A59="","", IF(C59, INDEX(Input!$D$11:$D$17, B59), 0))</f>
        <v/>
      </c>
      <c r="F59" s="4">
        <f>IF(A59="","", A59 - (B59-1))</f>
        <v/>
      </c>
      <c r="G59" s="4">
        <f>IF(A59="","", B59=7)</f>
        <v/>
      </c>
    </row>
    <row r="60">
      <c r="A60" s="4" t="n"/>
      <c r="B60" s="4">
        <f>IF(A60="","",WEEKDAY(A60,2))</f>
        <v/>
      </c>
      <c r="C60" s="4">
        <f>IF(A60="","",IF(INDEX(Input!$B$11:$B$17, B60)=1, TRUE, FALSE))</f>
        <v/>
      </c>
      <c r="D60" s="5">
        <f>IF(A60="","", IF(C60, INDEX(Input!$C$11:$C$17, B60), 0))</f>
        <v/>
      </c>
      <c r="E60" s="5">
        <f>IF(A60="","", IF(C60, INDEX(Input!$D$11:$D$17, B60), 0))</f>
        <v/>
      </c>
      <c r="F60" s="4">
        <f>IF(A60="","", A60 - (B60-1))</f>
        <v/>
      </c>
      <c r="G60" s="4">
        <f>IF(A60="","", B60=7)</f>
        <v/>
      </c>
    </row>
    <row r="61">
      <c r="A61" s="4" t="n"/>
      <c r="B61" s="4">
        <f>IF(A61="","",WEEKDAY(A61,2))</f>
        <v/>
      </c>
      <c r="C61" s="4">
        <f>IF(A61="","",IF(INDEX(Input!$B$11:$B$17, B61)=1, TRUE, FALSE))</f>
        <v/>
      </c>
      <c r="D61" s="5">
        <f>IF(A61="","", IF(C61, INDEX(Input!$C$11:$C$17, B61), 0))</f>
        <v/>
      </c>
      <c r="E61" s="5">
        <f>IF(A61="","", IF(C61, INDEX(Input!$D$11:$D$17, B61), 0))</f>
        <v/>
      </c>
      <c r="F61" s="4">
        <f>IF(A61="","", A61 - (B61-1))</f>
        <v/>
      </c>
      <c r="G61" s="4">
        <f>IF(A61="","", B61=7)</f>
        <v/>
      </c>
    </row>
    <row r="62">
      <c r="A62" s="4" t="n"/>
      <c r="B62" s="4">
        <f>IF(A62="","",WEEKDAY(A62,2))</f>
        <v/>
      </c>
      <c r="C62" s="4">
        <f>IF(A62="","",IF(INDEX(Input!$B$11:$B$17, B62)=1, TRUE, FALSE))</f>
        <v/>
      </c>
      <c r="D62" s="5">
        <f>IF(A62="","", IF(C62, INDEX(Input!$C$11:$C$17, B62), 0))</f>
        <v/>
      </c>
      <c r="E62" s="5">
        <f>IF(A62="","", IF(C62, INDEX(Input!$D$11:$D$17, B62), 0))</f>
        <v/>
      </c>
      <c r="F62" s="4">
        <f>IF(A62="","", A62 - (B62-1))</f>
        <v/>
      </c>
      <c r="G62" s="4">
        <f>IF(A62="","", B62=7)</f>
        <v/>
      </c>
    </row>
    <row r="63">
      <c r="A63" s="4" t="n"/>
      <c r="B63" s="4">
        <f>IF(A63="","",WEEKDAY(A63,2))</f>
        <v/>
      </c>
      <c r="C63" s="4">
        <f>IF(A63="","",IF(INDEX(Input!$B$11:$B$17, B63)=1, TRUE, FALSE))</f>
        <v/>
      </c>
      <c r="D63" s="5">
        <f>IF(A63="","", IF(C63, INDEX(Input!$C$11:$C$17, B63), 0))</f>
        <v/>
      </c>
      <c r="E63" s="5">
        <f>IF(A63="","", IF(C63, INDEX(Input!$D$11:$D$17, B63), 0))</f>
        <v/>
      </c>
      <c r="F63" s="4">
        <f>IF(A63="","", A63 - (B63-1))</f>
        <v/>
      </c>
      <c r="G63" s="4">
        <f>IF(A63="","", B63=7)</f>
        <v/>
      </c>
    </row>
    <row r="64">
      <c r="A64" s="4" t="n"/>
      <c r="B64" s="4">
        <f>IF(A64="","",WEEKDAY(A64,2))</f>
        <v/>
      </c>
      <c r="C64" s="4">
        <f>IF(A64="","",IF(INDEX(Input!$B$11:$B$17, B64)=1, TRUE, FALSE))</f>
        <v/>
      </c>
      <c r="D64" s="5">
        <f>IF(A64="","", IF(C64, INDEX(Input!$C$11:$C$17, B64), 0))</f>
        <v/>
      </c>
      <c r="E64" s="5">
        <f>IF(A64="","", IF(C64, INDEX(Input!$D$11:$D$17, B64), 0))</f>
        <v/>
      </c>
      <c r="F64" s="4">
        <f>IF(A64="","", A64 - (B64-1))</f>
        <v/>
      </c>
      <c r="G64" s="4">
        <f>IF(A64="","", B64=7)</f>
        <v/>
      </c>
    </row>
    <row r="65">
      <c r="A65" s="4" t="n"/>
      <c r="B65" s="4">
        <f>IF(A65="","",WEEKDAY(A65,2))</f>
        <v/>
      </c>
      <c r="C65" s="4">
        <f>IF(A65="","",IF(INDEX(Input!$B$11:$B$17, B65)=1, TRUE, FALSE))</f>
        <v/>
      </c>
      <c r="D65" s="5">
        <f>IF(A65="","", IF(C65, INDEX(Input!$C$11:$C$17, B65), 0))</f>
        <v/>
      </c>
      <c r="E65" s="5">
        <f>IF(A65="","", IF(C65, INDEX(Input!$D$11:$D$17, B65), 0))</f>
        <v/>
      </c>
      <c r="F65" s="4">
        <f>IF(A65="","", A65 - (B65-1))</f>
        <v/>
      </c>
      <c r="G65" s="4">
        <f>IF(A65="","", B65=7)</f>
        <v/>
      </c>
    </row>
    <row r="66">
      <c r="A66" s="4" t="n"/>
      <c r="B66" s="4">
        <f>IF(A66="","",WEEKDAY(A66,2))</f>
        <v/>
      </c>
      <c r="C66" s="4">
        <f>IF(A66="","",IF(INDEX(Input!$B$11:$B$17, B66)=1, TRUE, FALSE))</f>
        <v/>
      </c>
      <c r="D66" s="5">
        <f>IF(A66="","", IF(C66, INDEX(Input!$C$11:$C$17, B66), 0))</f>
        <v/>
      </c>
      <c r="E66" s="5">
        <f>IF(A66="","", IF(C66, INDEX(Input!$D$11:$D$17, B66), 0))</f>
        <v/>
      </c>
      <c r="F66" s="4">
        <f>IF(A66="","", A66 - (B66-1))</f>
        <v/>
      </c>
      <c r="G66" s="4">
        <f>IF(A66="","", B66=7)</f>
        <v/>
      </c>
    </row>
    <row r="67">
      <c r="A67" s="4" t="n"/>
      <c r="B67" s="4">
        <f>IF(A67="","",WEEKDAY(A67,2))</f>
        <v/>
      </c>
      <c r="C67" s="4">
        <f>IF(A67="","",IF(INDEX(Input!$B$11:$B$17, B67)=1, TRUE, FALSE))</f>
        <v/>
      </c>
      <c r="D67" s="5">
        <f>IF(A67="","", IF(C67, INDEX(Input!$C$11:$C$17, B67), 0))</f>
        <v/>
      </c>
      <c r="E67" s="5">
        <f>IF(A67="","", IF(C67, INDEX(Input!$D$11:$D$17, B67), 0))</f>
        <v/>
      </c>
      <c r="F67" s="4">
        <f>IF(A67="","", A67 - (B67-1))</f>
        <v/>
      </c>
      <c r="G67" s="4">
        <f>IF(A67="","", B67=7)</f>
        <v/>
      </c>
    </row>
    <row r="68">
      <c r="A68" s="4" t="n"/>
      <c r="B68" s="4">
        <f>IF(A68="","",WEEKDAY(A68,2))</f>
        <v/>
      </c>
      <c r="C68" s="4">
        <f>IF(A68="","",IF(INDEX(Input!$B$11:$B$17, B68)=1, TRUE, FALSE))</f>
        <v/>
      </c>
      <c r="D68" s="5">
        <f>IF(A68="","", IF(C68, INDEX(Input!$C$11:$C$17, B68), 0))</f>
        <v/>
      </c>
      <c r="E68" s="5">
        <f>IF(A68="","", IF(C68, INDEX(Input!$D$11:$D$17, B68), 0))</f>
        <v/>
      </c>
      <c r="F68" s="4">
        <f>IF(A68="","", A68 - (B68-1))</f>
        <v/>
      </c>
      <c r="G68" s="4">
        <f>IF(A68="","", B68=7)</f>
        <v/>
      </c>
    </row>
    <row r="69">
      <c r="A69" s="4" t="n"/>
      <c r="B69" s="4">
        <f>IF(A69="","",WEEKDAY(A69,2))</f>
        <v/>
      </c>
      <c r="C69" s="4">
        <f>IF(A69="","",IF(INDEX(Input!$B$11:$B$17, B69)=1, TRUE, FALSE))</f>
        <v/>
      </c>
      <c r="D69" s="5">
        <f>IF(A69="","", IF(C69, INDEX(Input!$C$11:$C$17, B69), 0))</f>
        <v/>
      </c>
      <c r="E69" s="5">
        <f>IF(A69="","", IF(C69, INDEX(Input!$D$11:$D$17, B69), 0))</f>
        <v/>
      </c>
      <c r="F69" s="4">
        <f>IF(A69="","", A69 - (B69-1))</f>
        <v/>
      </c>
      <c r="G69" s="4">
        <f>IF(A69="","", B69=7)</f>
        <v/>
      </c>
    </row>
    <row r="70">
      <c r="A70" s="4" t="n"/>
      <c r="B70" s="4">
        <f>IF(A70="","",WEEKDAY(A70,2))</f>
        <v/>
      </c>
      <c r="C70" s="4">
        <f>IF(A70="","",IF(INDEX(Input!$B$11:$B$17, B70)=1, TRUE, FALSE))</f>
        <v/>
      </c>
      <c r="D70" s="5">
        <f>IF(A70="","", IF(C70, INDEX(Input!$C$11:$C$17, B70), 0))</f>
        <v/>
      </c>
      <c r="E70" s="5">
        <f>IF(A70="","", IF(C70, INDEX(Input!$D$11:$D$17, B70), 0))</f>
        <v/>
      </c>
      <c r="F70" s="4">
        <f>IF(A70="","", A70 - (B70-1))</f>
        <v/>
      </c>
      <c r="G70" s="4">
        <f>IF(A70="","", B70=7)</f>
        <v/>
      </c>
    </row>
    <row r="71">
      <c r="A71" s="4" t="n"/>
      <c r="B71" s="4">
        <f>IF(A71="","",WEEKDAY(A71,2))</f>
        <v/>
      </c>
      <c r="C71" s="4">
        <f>IF(A71="","",IF(INDEX(Input!$B$11:$B$17, B71)=1, TRUE, FALSE))</f>
        <v/>
      </c>
      <c r="D71" s="5">
        <f>IF(A71="","", IF(C71, INDEX(Input!$C$11:$C$17, B71), 0))</f>
        <v/>
      </c>
      <c r="E71" s="5">
        <f>IF(A71="","", IF(C71, INDEX(Input!$D$11:$D$17, B71), 0))</f>
        <v/>
      </c>
      <c r="F71" s="4">
        <f>IF(A71="","", A71 - (B71-1))</f>
        <v/>
      </c>
      <c r="G71" s="4">
        <f>IF(A71="","", B71=7)</f>
        <v/>
      </c>
    </row>
    <row r="72">
      <c r="A72" s="4" t="n"/>
      <c r="B72" s="4">
        <f>IF(A72="","",WEEKDAY(A72,2))</f>
        <v/>
      </c>
      <c r="C72" s="4">
        <f>IF(A72="","",IF(INDEX(Input!$B$11:$B$17, B72)=1, TRUE, FALSE))</f>
        <v/>
      </c>
      <c r="D72" s="5">
        <f>IF(A72="","", IF(C72, INDEX(Input!$C$11:$C$17, B72), 0))</f>
        <v/>
      </c>
      <c r="E72" s="5">
        <f>IF(A72="","", IF(C72, INDEX(Input!$D$11:$D$17, B72), 0))</f>
        <v/>
      </c>
      <c r="F72" s="4">
        <f>IF(A72="","", A72 - (B72-1))</f>
        <v/>
      </c>
      <c r="G72" s="4">
        <f>IF(A72="","", B72=7)</f>
        <v/>
      </c>
    </row>
    <row r="73">
      <c r="A73" s="4" t="n"/>
      <c r="B73" s="4">
        <f>IF(A73="","",WEEKDAY(A73,2))</f>
        <v/>
      </c>
      <c r="C73" s="4">
        <f>IF(A73="","",IF(INDEX(Input!$B$11:$B$17, B73)=1, TRUE, FALSE))</f>
        <v/>
      </c>
      <c r="D73" s="5">
        <f>IF(A73="","", IF(C73, INDEX(Input!$C$11:$C$17, B73), 0))</f>
        <v/>
      </c>
      <c r="E73" s="5">
        <f>IF(A73="","", IF(C73, INDEX(Input!$D$11:$D$17, B73), 0))</f>
        <v/>
      </c>
      <c r="F73" s="4">
        <f>IF(A73="","", A73 - (B73-1))</f>
        <v/>
      </c>
      <c r="G73" s="4">
        <f>IF(A73="","", B73=7)</f>
        <v/>
      </c>
    </row>
    <row r="74">
      <c r="A74" s="4" t="n"/>
      <c r="B74" s="4">
        <f>IF(A74="","",WEEKDAY(A74,2))</f>
        <v/>
      </c>
      <c r="C74" s="4">
        <f>IF(A74="","",IF(INDEX(Input!$B$11:$B$17, B74)=1, TRUE, FALSE))</f>
        <v/>
      </c>
      <c r="D74" s="5">
        <f>IF(A74="","", IF(C74, INDEX(Input!$C$11:$C$17, B74), 0))</f>
        <v/>
      </c>
      <c r="E74" s="5">
        <f>IF(A74="","", IF(C74, INDEX(Input!$D$11:$D$17, B74), 0))</f>
        <v/>
      </c>
      <c r="F74" s="4">
        <f>IF(A74="","", A74 - (B74-1))</f>
        <v/>
      </c>
      <c r="G74" s="4">
        <f>IF(A74="","", B74=7)</f>
        <v/>
      </c>
    </row>
    <row r="75">
      <c r="A75" s="4" t="n"/>
      <c r="B75" s="4">
        <f>IF(A75="","",WEEKDAY(A75,2))</f>
        <v/>
      </c>
      <c r="C75" s="4">
        <f>IF(A75="","",IF(INDEX(Input!$B$11:$B$17, B75)=1, TRUE, FALSE))</f>
        <v/>
      </c>
      <c r="D75" s="5">
        <f>IF(A75="","", IF(C75, INDEX(Input!$C$11:$C$17, B75), 0))</f>
        <v/>
      </c>
      <c r="E75" s="5">
        <f>IF(A75="","", IF(C75, INDEX(Input!$D$11:$D$17, B75), 0))</f>
        <v/>
      </c>
      <c r="F75" s="4">
        <f>IF(A75="","", A75 - (B75-1))</f>
        <v/>
      </c>
      <c r="G75" s="4">
        <f>IF(A75="","", B75=7)</f>
        <v/>
      </c>
    </row>
    <row r="76">
      <c r="A76" s="4" t="n"/>
      <c r="B76" s="4">
        <f>IF(A76="","",WEEKDAY(A76,2))</f>
        <v/>
      </c>
      <c r="C76" s="4">
        <f>IF(A76="","",IF(INDEX(Input!$B$11:$B$17, B76)=1, TRUE, FALSE))</f>
        <v/>
      </c>
      <c r="D76" s="5">
        <f>IF(A76="","", IF(C76, INDEX(Input!$C$11:$C$17, B76), 0))</f>
        <v/>
      </c>
      <c r="E76" s="5">
        <f>IF(A76="","", IF(C76, INDEX(Input!$D$11:$D$17, B76), 0))</f>
        <v/>
      </c>
      <c r="F76" s="4">
        <f>IF(A76="","", A76 - (B76-1))</f>
        <v/>
      </c>
      <c r="G76" s="4">
        <f>IF(A76="","", B76=7)</f>
        <v/>
      </c>
    </row>
    <row r="77">
      <c r="A77" s="4" t="n"/>
      <c r="B77" s="4">
        <f>IF(A77="","",WEEKDAY(A77,2))</f>
        <v/>
      </c>
      <c r="C77" s="4">
        <f>IF(A77="","",IF(INDEX(Input!$B$11:$B$17, B77)=1, TRUE, FALSE))</f>
        <v/>
      </c>
      <c r="D77" s="5">
        <f>IF(A77="","", IF(C77, INDEX(Input!$C$11:$C$17, B77), 0))</f>
        <v/>
      </c>
      <c r="E77" s="5">
        <f>IF(A77="","", IF(C77, INDEX(Input!$D$11:$D$17, B77), 0))</f>
        <v/>
      </c>
      <c r="F77" s="4">
        <f>IF(A77="","", A77 - (B77-1))</f>
        <v/>
      </c>
      <c r="G77" s="4">
        <f>IF(A77="","", B77=7)</f>
        <v/>
      </c>
    </row>
    <row r="78">
      <c r="A78" s="4" t="n"/>
      <c r="B78" s="4">
        <f>IF(A78="","",WEEKDAY(A78,2))</f>
        <v/>
      </c>
      <c r="C78" s="4">
        <f>IF(A78="","",IF(INDEX(Input!$B$11:$B$17, B78)=1, TRUE, FALSE))</f>
        <v/>
      </c>
      <c r="D78" s="5">
        <f>IF(A78="","", IF(C78, INDEX(Input!$C$11:$C$17, B78), 0))</f>
        <v/>
      </c>
      <c r="E78" s="5">
        <f>IF(A78="","", IF(C78, INDEX(Input!$D$11:$D$17, B78), 0))</f>
        <v/>
      </c>
      <c r="F78" s="4">
        <f>IF(A78="","", A78 - (B78-1))</f>
        <v/>
      </c>
      <c r="G78" s="4">
        <f>IF(A78="","", B78=7)</f>
        <v/>
      </c>
    </row>
    <row r="79">
      <c r="A79" s="4" t="n"/>
      <c r="B79" s="4">
        <f>IF(A79="","",WEEKDAY(A79,2))</f>
        <v/>
      </c>
      <c r="C79" s="4">
        <f>IF(A79="","",IF(INDEX(Input!$B$11:$B$17, B79)=1, TRUE, FALSE))</f>
        <v/>
      </c>
      <c r="D79" s="5">
        <f>IF(A79="","", IF(C79, INDEX(Input!$C$11:$C$17, B79), 0))</f>
        <v/>
      </c>
      <c r="E79" s="5">
        <f>IF(A79="","", IF(C79, INDEX(Input!$D$11:$D$17, B79), 0))</f>
        <v/>
      </c>
      <c r="F79" s="4">
        <f>IF(A79="","", A79 - (B79-1))</f>
        <v/>
      </c>
      <c r="G79" s="4">
        <f>IF(A79="","", B79=7)</f>
        <v/>
      </c>
    </row>
    <row r="80">
      <c r="A80" s="4" t="n"/>
      <c r="B80" s="4">
        <f>IF(A80="","",WEEKDAY(A80,2))</f>
        <v/>
      </c>
      <c r="C80" s="4">
        <f>IF(A80="","",IF(INDEX(Input!$B$11:$B$17, B80)=1, TRUE, FALSE))</f>
        <v/>
      </c>
      <c r="D80" s="5">
        <f>IF(A80="","", IF(C80, INDEX(Input!$C$11:$C$17, B80), 0))</f>
        <v/>
      </c>
      <c r="E80" s="5">
        <f>IF(A80="","", IF(C80, INDEX(Input!$D$11:$D$17, B80), 0))</f>
        <v/>
      </c>
      <c r="F80" s="4">
        <f>IF(A80="","", A80 - (B80-1))</f>
        <v/>
      </c>
      <c r="G80" s="4">
        <f>IF(A80="","", B80=7)</f>
        <v/>
      </c>
    </row>
    <row r="81">
      <c r="A81" s="4" t="n"/>
      <c r="B81" s="4">
        <f>IF(A81="","",WEEKDAY(A81,2))</f>
        <v/>
      </c>
      <c r="C81" s="4">
        <f>IF(A81="","",IF(INDEX(Input!$B$11:$B$17, B81)=1, TRUE, FALSE))</f>
        <v/>
      </c>
      <c r="D81" s="5">
        <f>IF(A81="","", IF(C81, INDEX(Input!$C$11:$C$17, B81), 0))</f>
        <v/>
      </c>
      <c r="E81" s="5">
        <f>IF(A81="","", IF(C81, INDEX(Input!$D$11:$D$17, B81), 0))</f>
        <v/>
      </c>
      <c r="F81" s="4">
        <f>IF(A81="","", A81 - (B81-1))</f>
        <v/>
      </c>
      <c r="G81" s="4">
        <f>IF(A81="","", B81=7)</f>
        <v/>
      </c>
    </row>
    <row r="82">
      <c r="A82" s="4" t="n"/>
      <c r="B82" s="4">
        <f>IF(A82="","",WEEKDAY(A82,2))</f>
        <v/>
      </c>
      <c r="C82" s="4">
        <f>IF(A82="","",IF(INDEX(Input!$B$11:$B$17, B82)=1, TRUE, FALSE))</f>
        <v/>
      </c>
      <c r="D82" s="5">
        <f>IF(A82="","", IF(C82, INDEX(Input!$C$11:$C$17, B82), 0))</f>
        <v/>
      </c>
      <c r="E82" s="5">
        <f>IF(A82="","", IF(C82, INDEX(Input!$D$11:$D$17, B82), 0))</f>
        <v/>
      </c>
      <c r="F82" s="4">
        <f>IF(A82="","", A82 - (B82-1))</f>
        <v/>
      </c>
      <c r="G82" s="4">
        <f>IF(A82="","", B82=7)</f>
        <v/>
      </c>
    </row>
    <row r="83">
      <c r="A83" s="4" t="n"/>
      <c r="B83" s="4">
        <f>IF(A83="","",WEEKDAY(A83,2))</f>
        <v/>
      </c>
      <c r="C83" s="4">
        <f>IF(A83="","",IF(INDEX(Input!$B$11:$B$17, B83)=1, TRUE, FALSE))</f>
        <v/>
      </c>
      <c r="D83" s="5">
        <f>IF(A83="","", IF(C83, INDEX(Input!$C$11:$C$17, B83), 0))</f>
        <v/>
      </c>
      <c r="E83" s="5">
        <f>IF(A83="","", IF(C83, INDEX(Input!$D$11:$D$17, B83), 0))</f>
        <v/>
      </c>
      <c r="F83" s="4">
        <f>IF(A83="","", A83 - (B83-1))</f>
        <v/>
      </c>
      <c r="G83" s="4">
        <f>IF(A83="","", B83=7)</f>
        <v/>
      </c>
    </row>
    <row r="84">
      <c r="A84" s="4" t="n"/>
      <c r="B84" s="4">
        <f>IF(A84="","",WEEKDAY(A84,2))</f>
        <v/>
      </c>
      <c r="C84" s="4">
        <f>IF(A84="","",IF(INDEX(Input!$B$11:$B$17, B84)=1, TRUE, FALSE))</f>
        <v/>
      </c>
      <c r="D84" s="5">
        <f>IF(A84="","", IF(C84, INDEX(Input!$C$11:$C$17, B84), 0))</f>
        <v/>
      </c>
      <c r="E84" s="5">
        <f>IF(A84="","", IF(C84, INDEX(Input!$D$11:$D$17, B84), 0))</f>
        <v/>
      </c>
      <c r="F84" s="4">
        <f>IF(A84="","", A84 - (B84-1))</f>
        <v/>
      </c>
      <c r="G84" s="4">
        <f>IF(A84="","", B84=7)</f>
        <v/>
      </c>
    </row>
    <row r="85">
      <c r="A85" s="4" t="n"/>
      <c r="B85" s="4">
        <f>IF(A85="","",WEEKDAY(A85,2))</f>
        <v/>
      </c>
      <c r="C85" s="4">
        <f>IF(A85="","",IF(INDEX(Input!$B$11:$B$17, B85)=1, TRUE, FALSE))</f>
        <v/>
      </c>
      <c r="D85" s="5">
        <f>IF(A85="","", IF(C85, INDEX(Input!$C$11:$C$17, B85), 0))</f>
        <v/>
      </c>
      <c r="E85" s="5">
        <f>IF(A85="","", IF(C85, INDEX(Input!$D$11:$D$17, B85), 0))</f>
        <v/>
      </c>
      <c r="F85" s="4">
        <f>IF(A85="","", A85 - (B85-1))</f>
        <v/>
      </c>
      <c r="G85" s="4">
        <f>IF(A85="","", B85=7)</f>
        <v/>
      </c>
    </row>
    <row r="86">
      <c r="A86" s="4" t="n"/>
      <c r="B86" s="4">
        <f>IF(A86="","",WEEKDAY(A86,2))</f>
        <v/>
      </c>
      <c r="C86" s="4">
        <f>IF(A86="","",IF(INDEX(Input!$B$11:$B$17, B86)=1, TRUE, FALSE))</f>
        <v/>
      </c>
      <c r="D86" s="5">
        <f>IF(A86="","", IF(C86, INDEX(Input!$C$11:$C$17, B86), 0))</f>
        <v/>
      </c>
      <c r="E86" s="5">
        <f>IF(A86="","", IF(C86, INDEX(Input!$D$11:$D$17, B86), 0))</f>
        <v/>
      </c>
      <c r="F86" s="4">
        <f>IF(A86="","", A86 - (B86-1))</f>
        <v/>
      </c>
      <c r="G86" s="4">
        <f>IF(A86="","", B86=7)</f>
        <v/>
      </c>
    </row>
    <row r="87">
      <c r="A87" s="4" t="n"/>
      <c r="B87" s="4">
        <f>IF(A87="","",WEEKDAY(A87,2))</f>
        <v/>
      </c>
      <c r="C87" s="4">
        <f>IF(A87="","",IF(INDEX(Input!$B$11:$B$17, B87)=1, TRUE, FALSE))</f>
        <v/>
      </c>
      <c r="D87" s="5">
        <f>IF(A87="","", IF(C87, INDEX(Input!$C$11:$C$17, B87), 0))</f>
        <v/>
      </c>
      <c r="E87" s="5">
        <f>IF(A87="","", IF(C87, INDEX(Input!$D$11:$D$17, B87), 0))</f>
        <v/>
      </c>
      <c r="F87" s="4">
        <f>IF(A87="","", A87 - (B87-1))</f>
        <v/>
      </c>
      <c r="G87" s="4">
        <f>IF(A87="","", B87=7)</f>
        <v/>
      </c>
    </row>
    <row r="88">
      <c r="A88" s="4" t="n"/>
      <c r="B88" s="4">
        <f>IF(A88="","",WEEKDAY(A88,2))</f>
        <v/>
      </c>
      <c r="C88" s="4">
        <f>IF(A88="","",IF(INDEX(Input!$B$11:$B$17, B88)=1, TRUE, FALSE))</f>
        <v/>
      </c>
      <c r="D88" s="5">
        <f>IF(A88="","", IF(C88, INDEX(Input!$C$11:$C$17, B88), 0))</f>
        <v/>
      </c>
      <c r="E88" s="5">
        <f>IF(A88="","", IF(C88, INDEX(Input!$D$11:$D$17, B88), 0))</f>
        <v/>
      </c>
      <c r="F88" s="4">
        <f>IF(A88="","", A88 - (B88-1))</f>
        <v/>
      </c>
      <c r="G88" s="4">
        <f>IF(A88="","", B88=7)</f>
        <v/>
      </c>
    </row>
    <row r="89">
      <c r="A89" s="4" t="n"/>
      <c r="B89" s="4">
        <f>IF(A89="","",WEEKDAY(A89,2))</f>
        <v/>
      </c>
      <c r="C89" s="4">
        <f>IF(A89="","",IF(INDEX(Input!$B$11:$B$17, B89)=1, TRUE, FALSE))</f>
        <v/>
      </c>
      <c r="D89" s="5">
        <f>IF(A89="","", IF(C89, INDEX(Input!$C$11:$C$17, B89), 0))</f>
        <v/>
      </c>
      <c r="E89" s="5">
        <f>IF(A89="","", IF(C89, INDEX(Input!$D$11:$D$17, B89), 0))</f>
        <v/>
      </c>
      <c r="F89" s="4">
        <f>IF(A89="","", A89 - (B89-1))</f>
        <v/>
      </c>
      <c r="G89" s="4">
        <f>IF(A89="","", B89=7)</f>
        <v/>
      </c>
    </row>
    <row r="90">
      <c r="A90" s="4" t="n"/>
      <c r="B90" s="4">
        <f>IF(A90="","",WEEKDAY(A90,2))</f>
        <v/>
      </c>
      <c r="C90" s="4">
        <f>IF(A90="","",IF(INDEX(Input!$B$11:$B$17, B90)=1, TRUE, FALSE))</f>
        <v/>
      </c>
      <c r="D90" s="5">
        <f>IF(A90="","", IF(C90, INDEX(Input!$C$11:$C$17, B90), 0))</f>
        <v/>
      </c>
      <c r="E90" s="5">
        <f>IF(A90="","", IF(C90, INDEX(Input!$D$11:$D$17, B90), 0))</f>
        <v/>
      </c>
      <c r="F90" s="4">
        <f>IF(A90="","", A90 - (B90-1))</f>
        <v/>
      </c>
      <c r="G90" s="4">
        <f>IF(A90="","", B90=7)</f>
        <v/>
      </c>
    </row>
    <row r="91">
      <c r="A91" s="4" t="n"/>
      <c r="B91" s="4">
        <f>IF(A91="","",WEEKDAY(A91,2))</f>
        <v/>
      </c>
      <c r="C91" s="4">
        <f>IF(A91="","",IF(INDEX(Input!$B$11:$B$17, B91)=1, TRUE, FALSE))</f>
        <v/>
      </c>
      <c r="D91" s="5">
        <f>IF(A91="","", IF(C91, INDEX(Input!$C$11:$C$17, B91), 0))</f>
        <v/>
      </c>
      <c r="E91" s="5">
        <f>IF(A91="","", IF(C91, INDEX(Input!$D$11:$D$17, B91), 0))</f>
        <v/>
      </c>
      <c r="F91" s="4">
        <f>IF(A91="","", A91 - (B91-1))</f>
        <v/>
      </c>
      <c r="G91" s="4">
        <f>IF(A91="","", B91=7)</f>
        <v/>
      </c>
    </row>
    <row r="92">
      <c r="A92" s="4" t="n"/>
      <c r="B92" s="4">
        <f>IF(A92="","",WEEKDAY(A92,2))</f>
        <v/>
      </c>
      <c r="C92" s="4">
        <f>IF(A92="","",IF(INDEX(Input!$B$11:$B$17, B92)=1, TRUE, FALSE))</f>
        <v/>
      </c>
      <c r="D92" s="5">
        <f>IF(A92="","", IF(C92, INDEX(Input!$C$11:$C$17, B92), 0))</f>
        <v/>
      </c>
      <c r="E92" s="5">
        <f>IF(A92="","", IF(C92, INDEX(Input!$D$11:$D$17, B92), 0))</f>
        <v/>
      </c>
      <c r="F92" s="4">
        <f>IF(A92="","", A92 - (B92-1))</f>
        <v/>
      </c>
      <c r="G92" s="4">
        <f>IF(A92="","", B92=7)</f>
        <v/>
      </c>
    </row>
    <row r="93">
      <c r="A93" s="4" t="n"/>
      <c r="B93" s="4">
        <f>IF(A93="","",WEEKDAY(A93,2))</f>
        <v/>
      </c>
      <c r="C93" s="4">
        <f>IF(A93="","",IF(INDEX(Input!$B$11:$B$17, B93)=1, TRUE, FALSE))</f>
        <v/>
      </c>
      <c r="D93" s="5">
        <f>IF(A93="","", IF(C93, INDEX(Input!$C$11:$C$17, B93), 0))</f>
        <v/>
      </c>
      <c r="E93" s="5">
        <f>IF(A93="","", IF(C93, INDEX(Input!$D$11:$D$17, B93), 0))</f>
        <v/>
      </c>
      <c r="F93" s="4">
        <f>IF(A93="","", A93 - (B93-1))</f>
        <v/>
      </c>
      <c r="G93" s="4">
        <f>IF(A93="","", B93=7)</f>
        <v/>
      </c>
    </row>
    <row r="94">
      <c r="A94" s="4" t="n"/>
      <c r="B94" s="4">
        <f>IF(A94="","",WEEKDAY(A94,2))</f>
        <v/>
      </c>
      <c r="C94" s="4">
        <f>IF(A94="","",IF(INDEX(Input!$B$11:$B$17, B94)=1, TRUE, FALSE))</f>
        <v/>
      </c>
      <c r="D94" s="5">
        <f>IF(A94="","", IF(C94, INDEX(Input!$C$11:$C$17, B94), 0))</f>
        <v/>
      </c>
      <c r="E94" s="5">
        <f>IF(A94="","", IF(C94, INDEX(Input!$D$11:$D$17, B94), 0))</f>
        <v/>
      </c>
      <c r="F94" s="4">
        <f>IF(A94="","", A94 - (B94-1))</f>
        <v/>
      </c>
      <c r="G94" s="4">
        <f>IF(A94="","", B94=7)</f>
        <v/>
      </c>
    </row>
    <row r="95">
      <c r="A95" s="4" t="n"/>
      <c r="B95" s="4">
        <f>IF(A95="","",WEEKDAY(A95,2))</f>
        <v/>
      </c>
      <c r="C95" s="4">
        <f>IF(A95="","",IF(INDEX(Input!$B$11:$B$17, B95)=1, TRUE, FALSE))</f>
        <v/>
      </c>
      <c r="D95" s="5">
        <f>IF(A95="","", IF(C95, INDEX(Input!$C$11:$C$17, B95), 0))</f>
        <v/>
      </c>
      <c r="E95" s="5">
        <f>IF(A95="","", IF(C95, INDEX(Input!$D$11:$D$17, B95), 0))</f>
        <v/>
      </c>
      <c r="F95" s="4">
        <f>IF(A95="","", A95 - (B95-1))</f>
        <v/>
      </c>
      <c r="G95" s="4">
        <f>IF(A95="","", B95=7)</f>
        <v/>
      </c>
    </row>
    <row r="96">
      <c r="A96" s="4" t="n"/>
      <c r="B96" s="4">
        <f>IF(A96="","",WEEKDAY(A96,2))</f>
        <v/>
      </c>
      <c r="C96" s="4">
        <f>IF(A96="","",IF(INDEX(Input!$B$11:$B$17, B96)=1, TRUE, FALSE))</f>
        <v/>
      </c>
      <c r="D96" s="5">
        <f>IF(A96="","", IF(C96, INDEX(Input!$C$11:$C$17, B96), 0))</f>
        <v/>
      </c>
      <c r="E96" s="5">
        <f>IF(A96="","", IF(C96, INDEX(Input!$D$11:$D$17, B96), 0))</f>
        <v/>
      </c>
      <c r="F96" s="4">
        <f>IF(A96="","", A96 - (B96-1))</f>
        <v/>
      </c>
      <c r="G96" s="4">
        <f>IF(A96="","", B96=7)</f>
        <v/>
      </c>
    </row>
    <row r="97">
      <c r="A97" s="4" t="n"/>
      <c r="B97" s="4">
        <f>IF(A97="","",WEEKDAY(A97,2))</f>
        <v/>
      </c>
      <c r="C97" s="4">
        <f>IF(A97="","",IF(INDEX(Input!$B$11:$B$17, B97)=1, TRUE, FALSE))</f>
        <v/>
      </c>
      <c r="D97" s="5">
        <f>IF(A97="","", IF(C97, INDEX(Input!$C$11:$C$17, B97), 0))</f>
        <v/>
      </c>
      <c r="E97" s="5">
        <f>IF(A97="","", IF(C97, INDEX(Input!$D$11:$D$17, B97), 0))</f>
        <v/>
      </c>
      <c r="F97" s="4">
        <f>IF(A97="","", A97 - (B97-1))</f>
        <v/>
      </c>
      <c r="G97" s="4">
        <f>IF(A97="","", B97=7)</f>
        <v/>
      </c>
    </row>
    <row r="98">
      <c r="A98" s="4" t="n"/>
      <c r="B98" s="4">
        <f>IF(A98="","",WEEKDAY(A98,2))</f>
        <v/>
      </c>
      <c r="C98" s="4">
        <f>IF(A98="","",IF(INDEX(Input!$B$11:$B$17, B98)=1, TRUE, FALSE))</f>
        <v/>
      </c>
      <c r="D98" s="5">
        <f>IF(A98="","", IF(C98, INDEX(Input!$C$11:$C$17, B98), 0))</f>
        <v/>
      </c>
      <c r="E98" s="5">
        <f>IF(A98="","", IF(C98, INDEX(Input!$D$11:$D$17, B98), 0))</f>
        <v/>
      </c>
      <c r="F98" s="4">
        <f>IF(A98="","", A98 - (B98-1))</f>
        <v/>
      </c>
      <c r="G98" s="4">
        <f>IF(A98="","", B98=7)</f>
        <v/>
      </c>
    </row>
    <row r="99">
      <c r="A99" s="4" t="n"/>
      <c r="B99" s="4">
        <f>IF(A99="","",WEEKDAY(A99,2))</f>
        <v/>
      </c>
      <c r="C99" s="4">
        <f>IF(A99="","",IF(INDEX(Input!$B$11:$B$17, B99)=1, TRUE, FALSE))</f>
        <v/>
      </c>
      <c r="D99" s="5">
        <f>IF(A99="","", IF(C99, INDEX(Input!$C$11:$C$17, B99), 0))</f>
        <v/>
      </c>
      <c r="E99" s="5">
        <f>IF(A99="","", IF(C99, INDEX(Input!$D$11:$D$17, B99), 0))</f>
        <v/>
      </c>
      <c r="F99" s="4">
        <f>IF(A99="","", A99 - (B99-1))</f>
        <v/>
      </c>
      <c r="G99" s="4">
        <f>IF(A99="","", B99=7)</f>
        <v/>
      </c>
    </row>
    <row r="100">
      <c r="A100" s="4" t="n"/>
      <c r="B100" s="4">
        <f>IF(A100="","",WEEKDAY(A100,2))</f>
        <v/>
      </c>
      <c r="C100" s="4">
        <f>IF(A100="","",IF(INDEX(Input!$B$11:$B$17, B100)=1, TRUE, FALSE))</f>
        <v/>
      </c>
      <c r="D100" s="5">
        <f>IF(A100="","", IF(C100, INDEX(Input!$C$11:$C$17, B100), 0))</f>
        <v/>
      </c>
      <c r="E100" s="5">
        <f>IF(A100="","", IF(C100, INDEX(Input!$D$11:$D$17, B100), 0))</f>
        <v/>
      </c>
      <c r="F100" s="4">
        <f>IF(A100="","", A100 - (B100-1))</f>
        <v/>
      </c>
      <c r="G100" s="4">
        <f>IF(A100="","", B100=7)</f>
        <v/>
      </c>
    </row>
    <row r="101">
      <c r="A101" s="4" t="n"/>
      <c r="B101" s="4">
        <f>IF(A101="","",WEEKDAY(A101,2))</f>
        <v/>
      </c>
      <c r="C101" s="4">
        <f>IF(A101="","",IF(INDEX(Input!$B$11:$B$17, B101)=1, TRUE, FALSE))</f>
        <v/>
      </c>
      <c r="D101" s="5">
        <f>IF(A101="","", IF(C101, INDEX(Input!$C$11:$C$17, B101), 0))</f>
        <v/>
      </c>
      <c r="E101" s="5">
        <f>IF(A101="","", IF(C101, INDEX(Input!$D$11:$D$17, B101), 0))</f>
        <v/>
      </c>
      <c r="F101" s="4">
        <f>IF(A101="","", A101 - (B101-1))</f>
        <v/>
      </c>
      <c r="G101" s="4">
        <f>IF(A101="","", B101=7)</f>
        <v/>
      </c>
    </row>
    <row r="102">
      <c r="A102" s="4" t="n"/>
      <c r="B102" s="4">
        <f>IF(A102="","",WEEKDAY(A102,2))</f>
        <v/>
      </c>
      <c r="C102" s="4">
        <f>IF(A102="","",IF(INDEX(Input!$B$11:$B$17, B102)=1, TRUE, FALSE))</f>
        <v/>
      </c>
      <c r="D102" s="5">
        <f>IF(A102="","", IF(C102, INDEX(Input!$C$11:$C$17, B102), 0))</f>
        <v/>
      </c>
      <c r="E102" s="5">
        <f>IF(A102="","", IF(C102, INDEX(Input!$D$11:$D$17, B102), 0))</f>
        <v/>
      </c>
      <c r="F102" s="4">
        <f>IF(A102="","", A102 - (B102-1))</f>
        <v/>
      </c>
      <c r="G102" s="4">
        <f>IF(A102="","", B102=7)</f>
        <v/>
      </c>
    </row>
    <row r="103">
      <c r="A103" s="4" t="n"/>
      <c r="B103" s="4">
        <f>IF(A103="","",WEEKDAY(A103,2))</f>
        <v/>
      </c>
      <c r="C103" s="4">
        <f>IF(A103="","",IF(INDEX(Input!$B$11:$B$17, B103)=1, TRUE, FALSE))</f>
        <v/>
      </c>
      <c r="D103" s="5">
        <f>IF(A103="","", IF(C103, INDEX(Input!$C$11:$C$17, B103), 0))</f>
        <v/>
      </c>
      <c r="E103" s="5">
        <f>IF(A103="","", IF(C103, INDEX(Input!$D$11:$D$17, B103), 0))</f>
        <v/>
      </c>
      <c r="F103" s="4">
        <f>IF(A103="","", A103 - (B103-1))</f>
        <v/>
      </c>
      <c r="G103" s="4">
        <f>IF(A103="","", B103=7)</f>
        <v/>
      </c>
    </row>
    <row r="104">
      <c r="A104" s="4" t="n"/>
      <c r="B104" s="4">
        <f>IF(A104="","",WEEKDAY(A104,2))</f>
        <v/>
      </c>
      <c r="C104" s="4">
        <f>IF(A104="","",IF(INDEX(Input!$B$11:$B$17, B104)=1, TRUE, FALSE))</f>
        <v/>
      </c>
      <c r="D104" s="5">
        <f>IF(A104="","", IF(C104, INDEX(Input!$C$11:$C$17, B104), 0))</f>
        <v/>
      </c>
      <c r="E104" s="5">
        <f>IF(A104="","", IF(C104, INDEX(Input!$D$11:$D$17, B104), 0))</f>
        <v/>
      </c>
      <c r="F104" s="4">
        <f>IF(A104="","", A104 - (B104-1))</f>
        <v/>
      </c>
      <c r="G104" s="4">
        <f>IF(A104="","", B104=7)</f>
        <v/>
      </c>
    </row>
    <row r="105">
      <c r="A105" s="4" t="n"/>
      <c r="B105" s="4">
        <f>IF(A105="","",WEEKDAY(A105,2))</f>
        <v/>
      </c>
      <c r="C105" s="4">
        <f>IF(A105="","",IF(INDEX(Input!$B$11:$B$17, B105)=1, TRUE, FALSE))</f>
        <v/>
      </c>
      <c r="D105" s="5">
        <f>IF(A105="","", IF(C105, INDEX(Input!$C$11:$C$17, B105), 0))</f>
        <v/>
      </c>
      <c r="E105" s="5">
        <f>IF(A105="","", IF(C105, INDEX(Input!$D$11:$D$17, B105), 0))</f>
        <v/>
      </c>
      <c r="F105" s="4">
        <f>IF(A105="","", A105 - (B105-1))</f>
        <v/>
      </c>
      <c r="G105" s="4">
        <f>IF(A105="","", B105=7)</f>
        <v/>
      </c>
    </row>
    <row r="106">
      <c r="A106" s="4" t="n"/>
      <c r="B106" s="4">
        <f>IF(A106="","",WEEKDAY(A106,2))</f>
        <v/>
      </c>
      <c r="C106" s="4">
        <f>IF(A106="","",IF(INDEX(Input!$B$11:$B$17, B106)=1, TRUE, FALSE))</f>
        <v/>
      </c>
      <c r="D106" s="5">
        <f>IF(A106="","", IF(C106, INDEX(Input!$C$11:$C$17, B106), 0))</f>
        <v/>
      </c>
      <c r="E106" s="5">
        <f>IF(A106="","", IF(C106, INDEX(Input!$D$11:$D$17, B106), 0))</f>
        <v/>
      </c>
      <c r="F106" s="4">
        <f>IF(A106="","", A106 - (B106-1))</f>
        <v/>
      </c>
      <c r="G106" s="4">
        <f>IF(A106="","", B106=7)</f>
        <v/>
      </c>
    </row>
    <row r="107">
      <c r="A107" s="4" t="n"/>
      <c r="B107" s="4">
        <f>IF(A107="","",WEEKDAY(A107,2))</f>
        <v/>
      </c>
      <c r="C107" s="4">
        <f>IF(A107="","",IF(INDEX(Input!$B$11:$B$17, B107)=1, TRUE, FALSE))</f>
        <v/>
      </c>
      <c r="D107" s="5">
        <f>IF(A107="","", IF(C107, INDEX(Input!$C$11:$C$17, B107), 0))</f>
        <v/>
      </c>
      <c r="E107" s="5">
        <f>IF(A107="","", IF(C107, INDEX(Input!$D$11:$D$17, B107), 0))</f>
        <v/>
      </c>
      <c r="F107" s="4">
        <f>IF(A107="","", A107 - (B107-1))</f>
        <v/>
      </c>
      <c r="G107" s="4">
        <f>IF(A107="","", B107=7)</f>
        <v/>
      </c>
    </row>
    <row r="108">
      <c r="A108" s="4" t="n"/>
      <c r="B108" s="4">
        <f>IF(A108="","",WEEKDAY(A108,2))</f>
        <v/>
      </c>
      <c r="C108" s="4">
        <f>IF(A108="","",IF(INDEX(Input!$B$11:$B$17, B108)=1, TRUE, FALSE))</f>
        <v/>
      </c>
      <c r="D108" s="5">
        <f>IF(A108="","", IF(C108, INDEX(Input!$C$11:$C$17, B108), 0))</f>
        <v/>
      </c>
      <c r="E108" s="5">
        <f>IF(A108="","", IF(C108, INDEX(Input!$D$11:$D$17, B108), 0))</f>
        <v/>
      </c>
      <c r="F108" s="4">
        <f>IF(A108="","", A108 - (B108-1))</f>
        <v/>
      </c>
      <c r="G108" s="4">
        <f>IF(A108="","", B108=7)</f>
        <v/>
      </c>
    </row>
    <row r="109">
      <c r="A109" s="4" t="n"/>
      <c r="B109" s="4">
        <f>IF(A109="","",WEEKDAY(A109,2))</f>
        <v/>
      </c>
      <c r="C109" s="4">
        <f>IF(A109="","",IF(INDEX(Input!$B$11:$B$17, B109)=1, TRUE, FALSE))</f>
        <v/>
      </c>
      <c r="D109" s="5">
        <f>IF(A109="","", IF(C109, INDEX(Input!$C$11:$C$17, B109), 0))</f>
        <v/>
      </c>
      <c r="E109" s="5">
        <f>IF(A109="","", IF(C109, INDEX(Input!$D$11:$D$17, B109), 0))</f>
        <v/>
      </c>
      <c r="F109" s="4">
        <f>IF(A109="","", A109 - (B109-1))</f>
        <v/>
      </c>
      <c r="G109" s="4">
        <f>IF(A109="","", B109=7)</f>
        <v/>
      </c>
    </row>
    <row r="110">
      <c r="A110" s="4" t="n"/>
      <c r="B110" s="4">
        <f>IF(A110="","",WEEKDAY(A110,2))</f>
        <v/>
      </c>
      <c r="C110" s="4">
        <f>IF(A110="","",IF(INDEX(Input!$B$11:$B$17, B110)=1, TRUE, FALSE))</f>
        <v/>
      </c>
      <c r="D110" s="5">
        <f>IF(A110="","", IF(C110, INDEX(Input!$C$11:$C$17, B110), 0))</f>
        <v/>
      </c>
      <c r="E110" s="5">
        <f>IF(A110="","", IF(C110, INDEX(Input!$D$11:$D$17, B110), 0))</f>
        <v/>
      </c>
      <c r="F110" s="4">
        <f>IF(A110="","", A110 - (B110-1))</f>
        <v/>
      </c>
      <c r="G110" s="4">
        <f>IF(A110="","", B110=7)</f>
        <v/>
      </c>
    </row>
    <row r="111">
      <c r="A111" s="4" t="n"/>
      <c r="B111" s="4">
        <f>IF(A111="","",WEEKDAY(A111,2))</f>
        <v/>
      </c>
      <c r="C111" s="4">
        <f>IF(A111="","",IF(INDEX(Input!$B$11:$B$17, B111)=1, TRUE, FALSE))</f>
        <v/>
      </c>
      <c r="D111" s="5">
        <f>IF(A111="","", IF(C111, INDEX(Input!$C$11:$C$17, B111), 0))</f>
        <v/>
      </c>
      <c r="E111" s="5">
        <f>IF(A111="","", IF(C111, INDEX(Input!$D$11:$D$17, B111), 0))</f>
        <v/>
      </c>
      <c r="F111" s="4">
        <f>IF(A111="","", A111 - (B111-1))</f>
        <v/>
      </c>
      <c r="G111" s="4">
        <f>IF(A111="","", B111=7)</f>
        <v/>
      </c>
    </row>
    <row r="112">
      <c r="A112" s="4" t="n"/>
      <c r="B112" s="4">
        <f>IF(A112="","",WEEKDAY(A112,2))</f>
        <v/>
      </c>
      <c r="C112" s="4">
        <f>IF(A112="","",IF(INDEX(Input!$B$11:$B$17, B112)=1, TRUE, FALSE))</f>
        <v/>
      </c>
      <c r="D112" s="5">
        <f>IF(A112="","", IF(C112, INDEX(Input!$C$11:$C$17, B112), 0))</f>
        <v/>
      </c>
      <c r="E112" s="5">
        <f>IF(A112="","", IF(C112, INDEX(Input!$D$11:$D$17, B112), 0))</f>
        <v/>
      </c>
      <c r="F112" s="4">
        <f>IF(A112="","", A112 - (B112-1))</f>
        <v/>
      </c>
      <c r="G112" s="4">
        <f>IF(A112="","", B112=7)</f>
        <v/>
      </c>
    </row>
    <row r="113">
      <c r="A113" s="4" t="n"/>
      <c r="B113" s="4">
        <f>IF(A113="","",WEEKDAY(A113,2))</f>
        <v/>
      </c>
      <c r="C113" s="4">
        <f>IF(A113="","",IF(INDEX(Input!$B$11:$B$17, B113)=1, TRUE, FALSE))</f>
        <v/>
      </c>
      <c r="D113" s="5">
        <f>IF(A113="","", IF(C113, INDEX(Input!$C$11:$C$17, B113), 0))</f>
        <v/>
      </c>
      <c r="E113" s="5">
        <f>IF(A113="","", IF(C113, INDEX(Input!$D$11:$D$17, B113), 0))</f>
        <v/>
      </c>
      <c r="F113" s="4">
        <f>IF(A113="","", A113 - (B113-1))</f>
        <v/>
      </c>
      <c r="G113" s="4">
        <f>IF(A113="","", B113=7)</f>
        <v/>
      </c>
    </row>
    <row r="114">
      <c r="A114" s="4" t="n"/>
      <c r="B114" s="4">
        <f>IF(A114="","",WEEKDAY(A114,2))</f>
        <v/>
      </c>
      <c r="C114" s="4">
        <f>IF(A114="","",IF(INDEX(Input!$B$11:$B$17, B114)=1, TRUE, FALSE))</f>
        <v/>
      </c>
      <c r="D114" s="5">
        <f>IF(A114="","", IF(C114, INDEX(Input!$C$11:$C$17, B114), 0))</f>
        <v/>
      </c>
      <c r="E114" s="5">
        <f>IF(A114="","", IF(C114, INDEX(Input!$D$11:$D$17, B114), 0))</f>
        <v/>
      </c>
      <c r="F114" s="4">
        <f>IF(A114="","", A114 - (B114-1))</f>
        <v/>
      </c>
      <c r="G114" s="4">
        <f>IF(A114="","", B114=7)</f>
        <v/>
      </c>
    </row>
    <row r="115">
      <c r="A115" s="4" t="n"/>
      <c r="B115" s="4">
        <f>IF(A115="","",WEEKDAY(A115,2))</f>
        <v/>
      </c>
      <c r="C115" s="4">
        <f>IF(A115="","",IF(INDEX(Input!$B$11:$B$17, B115)=1, TRUE, FALSE))</f>
        <v/>
      </c>
      <c r="D115" s="5">
        <f>IF(A115="","", IF(C115, INDEX(Input!$C$11:$C$17, B115), 0))</f>
        <v/>
      </c>
      <c r="E115" s="5">
        <f>IF(A115="","", IF(C115, INDEX(Input!$D$11:$D$17, B115), 0))</f>
        <v/>
      </c>
      <c r="F115" s="4">
        <f>IF(A115="","", A115 - (B115-1))</f>
        <v/>
      </c>
      <c r="G115" s="4">
        <f>IF(A115="","", B115=7)</f>
        <v/>
      </c>
    </row>
    <row r="116">
      <c r="A116" s="4" t="n"/>
      <c r="B116" s="4">
        <f>IF(A116="","",WEEKDAY(A116,2))</f>
        <v/>
      </c>
      <c r="C116" s="4">
        <f>IF(A116="","",IF(INDEX(Input!$B$11:$B$17, B116)=1, TRUE, FALSE))</f>
        <v/>
      </c>
      <c r="D116" s="5">
        <f>IF(A116="","", IF(C116, INDEX(Input!$C$11:$C$17, B116), 0))</f>
        <v/>
      </c>
      <c r="E116" s="5">
        <f>IF(A116="","", IF(C116, INDEX(Input!$D$11:$D$17, B116), 0))</f>
        <v/>
      </c>
      <c r="F116" s="4">
        <f>IF(A116="","", A116 - (B116-1))</f>
        <v/>
      </c>
      <c r="G116" s="4">
        <f>IF(A116="","", B116=7)</f>
        <v/>
      </c>
    </row>
    <row r="117">
      <c r="A117" s="4" t="n"/>
      <c r="B117" s="4">
        <f>IF(A117="","",WEEKDAY(A117,2))</f>
        <v/>
      </c>
      <c r="C117" s="4">
        <f>IF(A117="","",IF(INDEX(Input!$B$11:$B$17, B117)=1, TRUE, FALSE))</f>
        <v/>
      </c>
      <c r="D117" s="5">
        <f>IF(A117="","", IF(C117, INDEX(Input!$C$11:$C$17, B117), 0))</f>
        <v/>
      </c>
      <c r="E117" s="5">
        <f>IF(A117="","", IF(C117, INDEX(Input!$D$11:$D$17, B117), 0))</f>
        <v/>
      </c>
      <c r="F117" s="4">
        <f>IF(A117="","", A117 - (B117-1))</f>
        <v/>
      </c>
      <c r="G117" s="4">
        <f>IF(A117="","", B117=7)</f>
        <v/>
      </c>
    </row>
    <row r="118">
      <c r="A118" s="4" t="n"/>
      <c r="B118" s="4">
        <f>IF(A118="","",WEEKDAY(A118,2))</f>
        <v/>
      </c>
      <c r="C118" s="4">
        <f>IF(A118="","",IF(INDEX(Input!$B$11:$B$17, B118)=1, TRUE, FALSE))</f>
        <v/>
      </c>
      <c r="D118" s="5">
        <f>IF(A118="","", IF(C118, INDEX(Input!$C$11:$C$17, B118), 0))</f>
        <v/>
      </c>
      <c r="E118" s="5">
        <f>IF(A118="","", IF(C118, INDEX(Input!$D$11:$D$17, B118), 0))</f>
        <v/>
      </c>
      <c r="F118" s="4">
        <f>IF(A118="","", A118 - (B118-1))</f>
        <v/>
      </c>
      <c r="G118" s="4">
        <f>IF(A118="","", B118=7)</f>
        <v/>
      </c>
    </row>
    <row r="119">
      <c r="A119" s="4" t="n"/>
      <c r="B119" s="4">
        <f>IF(A119="","",WEEKDAY(A119,2))</f>
        <v/>
      </c>
      <c r="C119" s="4">
        <f>IF(A119="","",IF(INDEX(Input!$B$11:$B$17, B119)=1, TRUE, FALSE))</f>
        <v/>
      </c>
      <c r="D119" s="5">
        <f>IF(A119="","", IF(C119, INDEX(Input!$C$11:$C$17, B119), 0))</f>
        <v/>
      </c>
      <c r="E119" s="5">
        <f>IF(A119="","", IF(C119, INDEX(Input!$D$11:$D$17, B119), 0))</f>
        <v/>
      </c>
      <c r="F119" s="4">
        <f>IF(A119="","", A119 - (B119-1))</f>
        <v/>
      </c>
      <c r="G119" s="4">
        <f>IF(A119="","", B119=7)</f>
        <v/>
      </c>
    </row>
    <row r="120">
      <c r="A120" s="4" t="n"/>
      <c r="B120" s="4">
        <f>IF(A120="","",WEEKDAY(A120,2))</f>
        <v/>
      </c>
      <c r="C120" s="4">
        <f>IF(A120="","",IF(INDEX(Input!$B$11:$B$17, B120)=1, TRUE, FALSE))</f>
        <v/>
      </c>
      <c r="D120" s="5">
        <f>IF(A120="","", IF(C120, INDEX(Input!$C$11:$C$17, B120), 0))</f>
        <v/>
      </c>
      <c r="E120" s="5">
        <f>IF(A120="","", IF(C120, INDEX(Input!$D$11:$D$17, B120), 0))</f>
        <v/>
      </c>
      <c r="F120" s="4">
        <f>IF(A120="","", A120 - (B120-1))</f>
        <v/>
      </c>
      <c r="G120" s="4">
        <f>IF(A120="","", B120=7)</f>
        <v/>
      </c>
    </row>
    <row r="121">
      <c r="A121" s="4" t="n"/>
      <c r="B121" s="4">
        <f>IF(A121="","",WEEKDAY(A121,2))</f>
        <v/>
      </c>
      <c r="C121" s="4">
        <f>IF(A121="","",IF(INDEX(Input!$B$11:$B$17, B121)=1, TRUE, FALSE))</f>
        <v/>
      </c>
      <c r="D121" s="5">
        <f>IF(A121="","", IF(C121, INDEX(Input!$C$11:$C$17, B121), 0))</f>
        <v/>
      </c>
      <c r="E121" s="5">
        <f>IF(A121="","", IF(C121, INDEX(Input!$D$11:$D$17, B121), 0))</f>
        <v/>
      </c>
      <c r="F121" s="4">
        <f>IF(A121="","", A121 - (B121-1))</f>
        <v/>
      </c>
      <c r="G121" s="4">
        <f>IF(A121="","", B121=7)</f>
        <v/>
      </c>
    </row>
    <row r="122">
      <c r="A122" s="4" t="n"/>
      <c r="B122" s="4">
        <f>IF(A122="","",WEEKDAY(A122,2))</f>
        <v/>
      </c>
      <c r="C122" s="4">
        <f>IF(A122="","",IF(INDEX(Input!$B$11:$B$17, B122)=1, TRUE, FALSE))</f>
        <v/>
      </c>
      <c r="D122" s="5">
        <f>IF(A122="","", IF(C122, INDEX(Input!$C$11:$C$17, B122), 0))</f>
        <v/>
      </c>
      <c r="E122" s="5">
        <f>IF(A122="","", IF(C122, INDEX(Input!$D$11:$D$17, B122), 0))</f>
        <v/>
      </c>
      <c r="F122" s="4">
        <f>IF(A122="","", A122 - (B122-1))</f>
        <v/>
      </c>
      <c r="G122" s="4">
        <f>IF(A122="","", B122=7)</f>
        <v/>
      </c>
    </row>
    <row r="123">
      <c r="A123" s="4" t="n"/>
      <c r="B123" s="4">
        <f>IF(A123="","",WEEKDAY(A123,2))</f>
        <v/>
      </c>
      <c r="C123" s="4">
        <f>IF(A123="","",IF(INDEX(Input!$B$11:$B$17, B123)=1, TRUE, FALSE))</f>
        <v/>
      </c>
      <c r="D123" s="5">
        <f>IF(A123="","", IF(C123, INDEX(Input!$C$11:$C$17, B123), 0))</f>
        <v/>
      </c>
      <c r="E123" s="5">
        <f>IF(A123="","", IF(C123, INDEX(Input!$D$11:$D$17, B123), 0))</f>
        <v/>
      </c>
      <c r="F123" s="4">
        <f>IF(A123="","", A123 - (B123-1))</f>
        <v/>
      </c>
      <c r="G123" s="4">
        <f>IF(A123="","", B123=7)</f>
        <v/>
      </c>
    </row>
    <row r="124">
      <c r="A124" s="4" t="n"/>
      <c r="B124" s="4">
        <f>IF(A124="","",WEEKDAY(A124,2))</f>
        <v/>
      </c>
      <c r="C124" s="4">
        <f>IF(A124="","",IF(INDEX(Input!$B$11:$B$17, B124)=1, TRUE, FALSE))</f>
        <v/>
      </c>
      <c r="D124" s="5">
        <f>IF(A124="","", IF(C124, INDEX(Input!$C$11:$C$17, B124), 0))</f>
        <v/>
      </c>
      <c r="E124" s="5">
        <f>IF(A124="","", IF(C124, INDEX(Input!$D$11:$D$17, B124), 0))</f>
        <v/>
      </c>
      <c r="F124" s="4">
        <f>IF(A124="","", A124 - (B124-1))</f>
        <v/>
      </c>
      <c r="G124" s="4">
        <f>IF(A124="","", B124=7)</f>
        <v/>
      </c>
    </row>
    <row r="125">
      <c r="A125" s="4" t="n"/>
      <c r="B125" s="4">
        <f>IF(A125="","",WEEKDAY(A125,2))</f>
        <v/>
      </c>
      <c r="C125" s="4">
        <f>IF(A125="","",IF(INDEX(Input!$B$11:$B$17, B125)=1, TRUE, FALSE))</f>
        <v/>
      </c>
      <c r="D125" s="5">
        <f>IF(A125="","", IF(C125, INDEX(Input!$C$11:$C$17, B125), 0))</f>
        <v/>
      </c>
      <c r="E125" s="5">
        <f>IF(A125="","", IF(C125, INDEX(Input!$D$11:$D$17, B125), 0))</f>
        <v/>
      </c>
      <c r="F125" s="4">
        <f>IF(A125="","", A125 - (B125-1))</f>
        <v/>
      </c>
      <c r="G125" s="4">
        <f>IF(A125="","", B125=7)</f>
        <v/>
      </c>
    </row>
    <row r="126">
      <c r="A126" s="4" t="n"/>
      <c r="B126" s="4">
        <f>IF(A126="","",WEEKDAY(A126,2))</f>
        <v/>
      </c>
      <c r="C126" s="4">
        <f>IF(A126="","",IF(INDEX(Input!$B$11:$B$17, B126)=1, TRUE, FALSE))</f>
        <v/>
      </c>
      <c r="D126" s="5">
        <f>IF(A126="","", IF(C126, INDEX(Input!$C$11:$C$17, B126), 0))</f>
        <v/>
      </c>
      <c r="E126" s="5">
        <f>IF(A126="","", IF(C126, INDEX(Input!$D$11:$D$17, B126), 0))</f>
        <v/>
      </c>
      <c r="F126" s="4">
        <f>IF(A126="","", A126 - (B126-1))</f>
        <v/>
      </c>
      <c r="G126" s="4">
        <f>IF(A126="","", B126=7)</f>
        <v/>
      </c>
    </row>
    <row r="127">
      <c r="A127" s="4" t="n"/>
      <c r="B127" s="4">
        <f>IF(A127="","",WEEKDAY(A127,2))</f>
        <v/>
      </c>
      <c r="C127" s="4">
        <f>IF(A127="","",IF(INDEX(Input!$B$11:$B$17, B127)=1, TRUE, FALSE))</f>
        <v/>
      </c>
      <c r="D127" s="5">
        <f>IF(A127="","", IF(C127, INDEX(Input!$C$11:$C$17, B127), 0))</f>
        <v/>
      </c>
      <c r="E127" s="5">
        <f>IF(A127="","", IF(C127, INDEX(Input!$D$11:$D$17, B127), 0))</f>
        <v/>
      </c>
      <c r="F127" s="4">
        <f>IF(A127="","", A127 - (B127-1))</f>
        <v/>
      </c>
      <c r="G127" s="4">
        <f>IF(A127="","", B127=7)</f>
        <v/>
      </c>
    </row>
    <row r="128">
      <c r="A128" s="4" t="n"/>
      <c r="B128" s="4">
        <f>IF(A128="","",WEEKDAY(A128,2))</f>
        <v/>
      </c>
      <c r="C128" s="4">
        <f>IF(A128="","",IF(INDEX(Input!$B$11:$B$17, B128)=1, TRUE, FALSE))</f>
        <v/>
      </c>
      <c r="D128" s="5">
        <f>IF(A128="","", IF(C128, INDEX(Input!$C$11:$C$17, B128), 0))</f>
        <v/>
      </c>
      <c r="E128" s="5">
        <f>IF(A128="","", IF(C128, INDEX(Input!$D$11:$D$17, B128), 0))</f>
        <v/>
      </c>
      <c r="F128" s="4">
        <f>IF(A128="","", A128 - (B128-1))</f>
        <v/>
      </c>
      <c r="G128" s="4">
        <f>IF(A128="","", B128=7)</f>
        <v/>
      </c>
    </row>
    <row r="129">
      <c r="A129" s="4" t="n"/>
      <c r="B129" s="4">
        <f>IF(A129="","",WEEKDAY(A129,2))</f>
        <v/>
      </c>
      <c r="C129" s="4">
        <f>IF(A129="","",IF(INDEX(Input!$B$11:$B$17, B129)=1, TRUE, FALSE))</f>
        <v/>
      </c>
      <c r="D129" s="5">
        <f>IF(A129="","", IF(C129, INDEX(Input!$C$11:$C$17, B129), 0))</f>
        <v/>
      </c>
      <c r="E129" s="5">
        <f>IF(A129="","", IF(C129, INDEX(Input!$D$11:$D$17, B129), 0))</f>
        <v/>
      </c>
      <c r="F129" s="4">
        <f>IF(A129="","", A129 - (B129-1))</f>
        <v/>
      </c>
      <c r="G129" s="4">
        <f>IF(A129="","", B129=7)</f>
        <v/>
      </c>
    </row>
    <row r="130">
      <c r="A130" s="4" t="n"/>
      <c r="B130" s="4">
        <f>IF(A130="","",WEEKDAY(A130,2))</f>
        <v/>
      </c>
      <c r="C130" s="4">
        <f>IF(A130="","",IF(INDEX(Input!$B$11:$B$17, B130)=1, TRUE, FALSE))</f>
        <v/>
      </c>
      <c r="D130" s="5">
        <f>IF(A130="","", IF(C130, INDEX(Input!$C$11:$C$17, B130), 0))</f>
        <v/>
      </c>
      <c r="E130" s="5">
        <f>IF(A130="","", IF(C130, INDEX(Input!$D$11:$D$17, B130), 0))</f>
        <v/>
      </c>
      <c r="F130" s="4">
        <f>IF(A130="","", A130 - (B130-1))</f>
        <v/>
      </c>
      <c r="G130" s="4">
        <f>IF(A130="","", B130=7)</f>
        <v/>
      </c>
    </row>
    <row r="131">
      <c r="A131" s="4" t="n"/>
      <c r="B131" s="4">
        <f>IF(A131="","",WEEKDAY(A131,2))</f>
        <v/>
      </c>
      <c r="C131" s="4">
        <f>IF(A131="","",IF(INDEX(Input!$B$11:$B$17, B131)=1, TRUE, FALSE))</f>
        <v/>
      </c>
      <c r="D131" s="5">
        <f>IF(A131="","", IF(C131, INDEX(Input!$C$11:$C$17, B131), 0))</f>
        <v/>
      </c>
      <c r="E131" s="5">
        <f>IF(A131="","", IF(C131, INDEX(Input!$D$11:$D$17, B131), 0))</f>
        <v/>
      </c>
      <c r="F131" s="4">
        <f>IF(A131="","", A131 - (B131-1))</f>
        <v/>
      </c>
      <c r="G131" s="4">
        <f>IF(A131="","", B131=7)</f>
        <v/>
      </c>
    </row>
    <row r="132">
      <c r="A132" s="4" t="n"/>
      <c r="B132" s="4">
        <f>IF(A132="","",WEEKDAY(A132,2))</f>
        <v/>
      </c>
      <c r="C132" s="4">
        <f>IF(A132="","",IF(INDEX(Input!$B$11:$B$17, B132)=1, TRUE, FALSE))</f>
        <v/>
      </c>
      <c r="D132" s="5">
        <f>IF(A132="","", IF(C132, INDEX(Input!$C$11:$C$17, B132), 0))</f>
        <v/>
      </c>
      <c r="E132" s="5">
        <f>IF(A132="","", IF(C132, INDEX(Input!$D$11:$D$17, B132), 0))</f>
        <v/>
      </c>
      <c r="F132" s="4">
        <f>IF(A132="","", A132 - (B132-1))</f>
        <v/>
      </c>
      <c r="G132" s="4">
        <f>IF(A132="","", B132=7)</f>
        <v/>
      </c>
    </row>
    <row r="133">
      <c r="A133" s="4" t="n"/>
      <c r="B133" s="4">
        <f>IF(A133="","",WEEKDAY(A133,2))</f>
        <v/>
      </c>
      <c r="C133" s="4">
        <f>IF(A133="","",IF(INDEX(Input!$B$11:$B$17, B133)=1, TRUE, FALSE))</f>
        <v/>
      </c>
      <c r="D133" s="5">
        <f>IF(A133="","", IF(C133, INDEX(Input!$C$11:$C$17, B133), 0))</f>
        <v/>
      </c>
      <c r="E133" s="5">
        <f>IF(A133="","", IF(C133, INDEX(Input!$D$11:$D$17, B133), 0))</f>
        <v/>
      </c>
      <c r="F133" s="4">
        <f>IF(A133="","", A133 - (B133-1))</f>
        <v/>
      </c>
      <c r="G133" s="4">
        <f>IF(A133="","", B133=7)</f>
        <v/>
      </c>
    </row>
    <row r="134">
      <c r="A134" s="4" t="n"/>
      <c r="B134" s="4">
        <f>IF(A134="","",WEEKDAY(A134,2))</f>
        <v/>
      </c>
      <c r="C134" s="4">
        <f>IF(A134="","",IF(INDEX(Input!$B$11:$B$17, B134)=1, TRUE, FALSE))</f>
        <v/>
      </c>
      <c r="D134" s="5">
        <f>IF(A134="","", IF(C134, INDEX(Input!$C$11:$C$17, B134), 0))</f>
        <v/>
      </c>
      <c r="E134" s="5">
        <f>IF(A134="","", IF(C134, INDEX(Input!$D$11:$D$17, B134), 0))</f>
        <v/>
      </c>
      <c r="F134" s="4">
        <f>IF(A134="","", A134 - (B134-1))</f>
        <v/>
      </c>
      <c r="G134" s="4">
        <f>IF(A134="","", B134=7)</f>
        <v/>
      </c>
    </row>
    <row r="135">
      <c r="A135" s="4" t="n"/>
      <c r="B135" s="4">
        <f>IF(A135="","",WEEKDAY(A135,2))</f>
        <v/>
      </c>
      <c r="C135" s="4">
        <f>IF(A135="","",IF(INDEX(Input!$B$11:$B$17, B135)=1, TRUE, FALSE))</f>
        <v/>
      </c>
      <c r="D135" s="5">
        <f>IF(A135="","", IF(C135, INDEX(Input!$C$11:$C$17, B135), 0))</f>
        <v/>
      </c>
      <c r="E135" s="5">
        <f>IF(A135="","", IF(C135, INDEX(Input!$D$11:$D$17, B135), 0))</f>
        <v/>
      </c>
      <c r="F135" s="4">
        <f>IF(A135="","", A135 - (B135-1))</f>
        <v/>
      </c>
      <c r="G135" s="4">
        <f>IF(A135="","", B135=7)</f>
        <v/>
      </c>
    </row>
    <row r="136">
      <c r="A136" s="4" t="n"/>
      <c r="B136" s="4">
        <f>IF(A136="","",WEEKDAY(A136,2))</f>
        <v/>
      </c>
      <c r="C136" s="4">
        <f>IF(A136="","",IF(INDEX(Input!$B$11:$B$17, B136)=1, TRUE, FALSE))</f>
        <v/>
      </c>
      <c r="D136" s="5">
        <f>IF(A136="","", IF(C136, INDEX(Input!$C$11:$C$17, B136), 0))</f>
        <v/>
      </c>
      <c r="E136" s="5">
        <f>IF(A136="","", IF(C136, INDEX(Input!$D$11:$D$17, B136), 0))</f>
        <v/>
      </c>
      <c r="F136" s="4">
        <f>IF(A136="","", A136 - (B136-1))</f>
        <v/>
      </c>
      <c r="G136" s="4">
        <f>IF(A136="","", B136=7)</f>
        <v/>
      </c>
    </row>
    <row r="137">
      <c r="A137" s="4" t="n"/>
      <c r="B137" s="4">
        <f>IF(A137="","",WEEKDAY(A137,2))</f>
        <v/>
      </c>
      <c r="C137" s="4">
        <f>IF(A137="","",IF(INDEX(Input!$B$11:$B$17, B137)=1, TRUE, FALSE))</f>
        <v/>
      </c>
      <c r="D137" s="5">
        <f>IF(A137="","", IF(C137, INDEX(Input!$C$11:$C$17, B137), 0))</f>
        <v/>
      </c>
      <c r="E137" s="5">
        <f>IF(A137="","", IF(C137, INDEX(Input!$D$11:$D$17, B137), 0))</f>
        <v/>
      </c>
      <c r="F137" s="4">
        <f>IF(A137="","", A137 - (B137-1))</f>
        <v/>
      </c>
      <c r="G137" s="4">
        <f>IF(A137="","", B137=7)</f>
        <v/>
      </c>
    </row>
    <row r="138">
      <c r="A138" s="4" t="n"/>
      <c r="B138" s="4">
        <f>IF(A138="","",WEEKDAY(A138,2))</f>
        <v/>
      </c>
      <c r="C138" s="4">
        <f>IF(A138="","",IF(INDEX(Input!$B$11:$B$17, B138)=1, TRUE, FALSE))</f>
        <v/>
      </c>
      <c r="D138" s="5">
        <f>IF(A138="","", IF(C138, INDEX(Input!$C$11:$C$17, B138), 0))</f>
        <v/>
      </c>
      <c r="E138" s="5">
        <f>IF(A138="","", IF(C138, INDEX(Input!$D$11:$D$17, B138), 0))</f>
        <v/>
      </c>
      <c r="F138" s="4">
        <f>IF(A138="","", A138 - (B138-1))</f>
        <v/>
      </c>
      <c r="G138" s="4">
        <f>IF(A138="","", B138=7)</f>
        <v/>
      </c>
    </row>
    <row r="139">
      <c r="A139" s="4" t="n"/>
      <c r="B139" s="4">
        <f>IF(A139="","",WEEKDAY(A139,2))</f>
        <v/>
      </c>
      <c r="C139" s="4">
        <f>IF(A139="","",IF(INDEX(Input!$B$11:$B$17, B139)=1, TRUE, FALSE))</f>
        <v/>
      </c>
      <c r="D139" s="5">
        <f>IF(A139="","", IF(C139, INDEX(Input!$C$11:$C$17, B139), 0))</f>
        <v/>
      </c>
      <c r="E139" s="5">
        <f>IF(A139="","", IF(C139, INDEX(Input!$D$11:$D$17, B139), 0))</f>
        <v/>
      </c>
      <c r="F139" s="4">
        <f>IF(A139="","", A139 - (B139-1))</f>
        <v/>
      </c>
      <c r="G139" s="4">
        <f>IF(A139="","", B139=7)</f>
        <v/>
      </c>
    </row>
    <row r="140">
      <c r="A140" s="4" t="n"/>
      <c r="B140" s="4">
        <f>IF(A140="","",WEEKDAY(A140,2))</f>
        <v/>
      </c>
      <c r="C140" s="4">
        <f>IF(A140="","",IF(INDEX(Input!$B$11:$B$17, B140)=1, TRUE, FALSE))</f>
        <v/>
      </c>
      <c r="D140" s="5">
        <f>IF(A140="","", IF(C140, INDEX(Input!$C$11:$C$17, B140), 0))</f>
        <v/>
      </c>
      <c r="E140" s="5">
        <f>IF(A140="","", IF(C140, INDEX(Input!$D$11:$D$17, B140), 0))</f>
        <v/>
      </c>
      <c r="F140" s="4">
        <f>IF(A140="","", A140 - (B140-1))</f>
        <v/>
      </c>
      <c r="G140" s="4">
        <f>IF(A140="","", B140=7)</f>
        <v/>
      </c>
    </row>
    <row r="141">
      <c r="A141" s="4" t="n"/>
      <c r="B141" s="4">
        <f>IF(A141="","",WEEKDAY(A141,2))</f>
        <v/>
      </c>
      <c r="C141" s="4">
        <f>IF(A141="","",IF(INDEX(Input!$B$11:$B$17, B141)=1, TRUE, FALSE))</f>
        <v/>
      </c>
      <c r="D141" s="5">
        <f>IF(A141="","", IF(C141, INDEX(Input!$C$11:$C$17, B141), 0))</f>
        <v/>
      </c>
      <c r="E141" s="5">
        <f>IF(A141="","", IF(C141, INDEX(Input!$D$11:$D$17, B141), 0))</f>
        <v/>
      </c>
      <c r="F141" s="4">
        <f>IF(A141="","", A141 - (B141-1))</f>
        <v/>
      </c>
      <c r="G141" s="4">
        <f>IF(A141="","", B141=7)</f>
        <v/>
      </c>
    </row>
    <row r="142">
      <c r="A142" s="4" t="n"/>
      <c r="B142" s="4">
        <f>IF(A142="","",WEEKDAY(A142,2))</f>
        <v/>
      </c>
      <c r="C142" s="4">
        <f>IF(A142="","",IF(INDEX(Input!$B$11:$B$17, B142)=1, TRUE, FALSE))</f>
        <v/>
      </c>
      <c r="D142" s="5">
        <f>IF(A142="","", IF(C142, INDEX(Input!$C$11:$C$17, B142), 0))</f>
        <v/>
      </c>
      <c r="E142" s="5">
        <f>IF(A142="","", IF(C142, INDEX(Input!$D$11:$D$17, B142), 0))</f>
        <v/>
      </c>
      <c r="F142" s="4">
        <f>IF(A142="","", A142 - (B142-1))</f>
        <v/>
      </c>
      <c r="G142" s="4">
        <f>IF(A142="","", B142=7)</f>
        <v/>
      </c>
    </row>
    <row r="143">
      <c r="A143" s="4" t="n"/>
      <c r="B143" s="4">
        <f>IF(A143="","",WEEKDAY(A143,2))</f>
        <v/>
      </c>
      <c r="C143" s="4">
        <f>IF(A143="","",IF(INDEX(Input!$B$11:$B$17, B143)=1, TRUE, FALSE))</f>
        <v/>
      </c>
      <c r="D143" s="5">
        <f>IF(A143="","", IF(C143, INDEX(Input!$C$11:$C$17, B143), 0))</f>
        <v/>
      </c>
      <c r="E143" s="5">
        <f>IF(A143="","", IF(C143, INDEX(Input!$D$11:$D$17, B143), 0))</f>
        <v/>
      </c>
      <c r="F143" s="4">
        <f>IF(A143="","", A143 - (B143-1))</f>
        <v/>
      </c>
      <c r="G143" s="4">
        <f>IF(A143="","", B143=7)</f>
        <v/>
      </c>
    </row>
    <row r="144">
      <c r="A144" s="4" t="n"/>
      <c r="B144" s="4">
        <f>IF(A144="","",WEEKDAY(A144,2))</f>
        <v/>
      </c>
      <c r="C144" s="4">
        <f>IF(A144="","",IF(INDEX(Input!$B$11:$B$17, B144)=1, TRUE, FALSE))</f>
        <v/>
      </c>
      <c r="D144" s="5">
        <f>IF(A144="","", IF(C144, INDEX(Input!$C$11:$C$17, B144), 0))</f>
        <v/>
      </c>
      <c r="E144" s="5">
        <f>IF(A144="","", IF(C144, INDEX(Input!$D$11:$D$17, B144), 0))</f>
        <v/>
      </c>
      <c r="F144" s="4">
        <f>IF(A144="","", A144 - (B144-1))</f>
        <v/>
      </c>
      <c r="G144" s="4">
        <f>IF(A144="","", B144=7)</f>
        <v/>
      </c>
    </row>
    <row r="145">
      <c r="A145" s="4" t="n"/>
      <c r="B145" s="4">
        <f>IF(A145="","",WEEKDAY(A145,2))</f>
        <v/>
      </c>
      <c r="C145" s="4">
        <f>IF(A145="","",IF(INDEX(Input!$B$11:$B$17, B145)=1, TRUE, FALSE))</f>
        <v/>
      </c>
      <c r="D145" s="5">
        <f>IF(A145="","", IF(C145, INDEX(Input!$C$11:$C$17, B145), 0))</f>
        <v/>
      </c>
      <c r="E145" s="5">
        <f>IF(A145="","", IF(C145, INDEX(Input!$D$11:$D$17, B145), 0))</f>
        <v/>
      </c>
      <c r="F145" s="4">
        <f>IF(A145="","", A145 - (B145-1))</f>
        <v/>
      </c>
      <c r="G145" s="4">
        <f>IF(A145="","", B145=7)</f>
        <v/>
      </c>
    </row>
    <row r="146">
      <c r="A146" s="4" t="n"/>
      <c r="B146" s="4">
        <f>IF(A146="","",WEEKDAY(A146,2))</f>
        <v/>
      </c>
      <c r="C146" s="4">
        <f>IF(A146="","",IF(INDEX(Input!$B$11:$B$17, B146)=1, TRUE, FALSE))</f>
        <v/>
      </c>
      <c r="D146" s="5">
        <f>IF(A146="","", IF(C146, INDEX(Input!$C$11:$C$17, B146), 0))</f>
        <v/>
      </c>
      <c r="E146" s="5">
        <f>IF(A146="","", IF(C146, INDEX(Input!$D$11:$D$17, B146), 0))</f>
        <v/>
      </c>
      <c r="F146" s="4">
        <f>IF(A146="","", A146 - (B146-1))</f>
        <v/>
      </c>
      <c r="G146" s="4">
        <f>IF(A146="","", B146=7)</f>
        <v/>
      </c>
    </row>
    <row r="147">
      <c r="A147" s="4" t="n"/>
      <c r="B147" s="4">
        <f>IF(A147="","",WEEKDAY(A147,2))</f>
        <v/>
      </c>
      <c r="C147" s="4">
        <f>IF(A147="","",IF(INDEX(Input!$B$11:$B$17, B147)=1, TRUE, FALSE))</f>
        <v/>
      </c>
      <c r="D147" s="5">
        <f>IF(A147="","", IF(C147, INDEX(Input!$C$11:$C$17, B147), 0))</f>
        <v/>
      </c>
      <c r="E147" s="5">
        <f>IF(A147="","", IF(C147, INDEX(Input!$D$11:$D$17, B147), 0))</f>
        <v/>
      </c>
      <c r="F147" s="4">
        <f>IF(A147="","", A147 - (B147-1))</f>
        <v/>
      </c>
      <c r="G147" s="4">
        <f>IF(A147="","", B147=7)</f>
        <v/>
      </c>
    </row>
    <row r="148">
      <c r="A148" s="4" t="n"/>
      <c r="B148" s="4">
        <f>IF(A148="","",WEEKDAY(A148,2))</f>
        <v/>
      </c>
      <c r="C148" s="4">
        <f>IF(A148="","",IF(INDEX(Input!$B$11:$B$17, B148)=1, TRUE, FALSE))</f>
        <v/>
      </c>
      <c r="D148" s="5">
        <f>IF(A148="","", IF(C148, INDEX(Input!$C$11:$C$17, B148), 0))</f>
        <v/>
      </c>
      <c r="E148" s="5">
        <f>IF(A148="","", IF(C148, INDEX(Input!$D$11:$D$17, B148), 0))</f>
        <v/>
      </c>
      <c r="F148" s="4">
        <f>IF(A148="","", A148 - (B148-1))</f>
        <v/>
      </c>
      <c r="G148" s="4">
        <f>IF(A148="","", B148=7)</f>
        <v/>
      </c>
    </row>
    <row r="149">
      <c r="A149" s="4" t="n"/>
      <c r="B149" s="4">
        <f>IF(A149="","",WEEKDAY(A149,2))</f>
        <v/>
      </c>
      <c r="C149" s="4">
        <f>IF(A149="","",IF(INDEX(Input!$B$11:$B$17, B149)=1, TRUE, FALSE))</f>
        <v/>
      </c>
      <c r="D149" s="5">
        <f>IF(A149="","", IF(C149, INDEX(Input!$C$11:$C$17, B149), 0))</f>
        <v/>
      </c>
      <c r="E149" s="5">
        <f>IF(A149="","", IF(C149, INDEX(Input!$D$11:$D$17, B149), 0))</f>
        <v/>
      </c>
      <c r="F149" s="4">
        <f>IF(A149="","", A149 - (B149-1))</f>
        <v/>
      </c>
      <c r="G149" s="4">
        <f>IF(A149="","", B149=7)</f>
        <v/>
      </c>
    </row>
    <row r="150">
      <c r="A150" s="4" t="n"/>
      <c r="B150" s="4">
        <f>IF(A150="","",WEEKDAY(A150,2))</f>
        <v/>
      </c>
      <c r="C150" s="4">
        <f>IF(A150="","",IF(INDEX(Input!$B$11:$B$17, B150)=1, TRUE, FALSE))</f>
        <v/>
      </c>
      <c r="D150" s="5">
        <f>IF(A150="","", IF(C150, INDEX(Input!$C$11:$C$17, B150), 0))</f>
        <v/>
      </c>
      <c r="E150" s="5">
        <f>IF(A150="","", IF(C150, INDEX(Input!$D$11:$D$17, B150), 0))</f>
        <v/>
      </c>
      <c r="F150" s="4">
        <f>IF(A150="","", A150 - (B150-1))</f>
        <v/>
      </c>
      <c r="G150" s="4">
        <f>IF(A150="","", B150=7)</f>
        <v/>
      </c>
    </row>
    <row r="151">
      <c r="A151" s="4" t="n"/>
      <c r="B151" s="4">
        <f>IF(A151="","",WEEKDAY(A151,2))</f>
        <v/>
      </c>
      <c r="C151" s="4">
        <f>IF(A151="","",IF(INDEX(Input!$B$11:$B$17, B151)=1, TRUE, FALSE))</f>
        <v/>
      </c>
      <c r="D151" s="5">
        <f>IF(A151="","", IF(C151, INDEX(Input!$C$11:$C$17, B151), 0))</f>
        <v/>
      </c>
      <c r="E151" s="5">
        <f>IF(A151="","", IF(C151, INDEX(Input!$D$11:$D$17, B151), 0))</f>
        <v/>
      </c>
      <c r="F151" s="4">
        <f>IF(A151="","", A151 - (B151-1))</f>
        <v/>
      </c>
      <c r="G151" s="4">
        <f>IF(A151="","", B151=7)</f>
        <v/>
      </c>
    </row>
    <row r="152">
      <c r="A152" s="4" t="n"/>
      <c r="B152" s="4">
        <f>IF(A152="","",WEEKDAY(A152,2))</f>
        <v/>
      </c>
      <c r="C152" s="4">
        <f>IF(A152="","",IF(INDEX(Input!$B$11:$B$17, B152)=1, TRUE, FALSE))</f>
        <v/>
      </c>
      <c r="D152" s="5">
        <f>IF(A152="","", IF(C152, INDEX(Input!$C$11:$C$17, B152), 0))</f>
        <v/>
      </c>
      <c r="E152" s="5">
        <f>IF(A152="","", IF(C152, INDEX(Input!$D$11:$D$17, B152), 0))</f>
        <v/>
      </c>
      <c r="F152" s="4">
        <f>IF(A152="","", A152 - (B152-1))</f>
        <v/>
      </c>
      <c r="G152" s="4">
        <f>IF(A152="","", B152=7)</f>
        <v/>
      </c>
    </row>
    <row r="153">
      <c r="A153" s="4" t="n"/>
      <c r="B153" s="4">
        <f>IF(A153="","",WEEKDAY(A153,2))</f>
        <v/>
      </c>
      <c r="C153" s="4">
        <f>IF(A153="","",IF(INDEX(Input!$B$11:$B$17, B153)=1, TRUE, FALSE))</f>
        <v/>
      </c>
      <c r="D153" s="5">
        <f>IF(A153="","", IF(C153, INDEX(Input!$C$11:$C$17, B153), 0))</f>
        <v/>
      </c>
      <c r="E153" s="5">
        <f>IF(A153="","", IF(C153, INDEX(Input!$D$11:$D$17, B153), 0))</f>
        <v/>
      </c>
      <c r="F153" s="4">
        <f>IF(A153="","", A153 - (B153-1))</f>
        <v/>
      </c>
      <c r="G153" s="4">
        <f>IF(A153="","", B153=7)</f>
        <v/>
      </c>
    </row>
    <row r="154">
      <c r="A154" s="4" t="n"/>
      <c r="B154" s="4">
        <f>IF(A154="","",WEEKDAY(A154,2))</f>
        <v/>
      </c>
      <c r="C154" s="4">
        <f>IF(A154="","",IF(INDEX(Input!$B$11:$B$17, B154)=1, TRUE, FALSE))</f>
        <v/>
      </c>
      <c r="D154" s="5">
        <f>IF(A154="","", IF(C154, INDEX(Input!$C$11:$C$17, B154), 0))</f>
        <v/>
      </c>
      <c r="E154" s="5">
        <f>IF(A154="","", IF(C154, INDEX(Input!$D$11:$D$17, B154), 0))</f>
        <v/>
      </c>
      <c r="F154" s="4">
        <f>IF(A154="","", A154 - (B154-1))</f>
        <v/>
      </c>
      <c r="G154" s="4">
        <f>IF(A154="","", B154=7)</f>
        <v/>
      </c>
    </row>
    <row r="155">
      <c r="A155" s="4" t="n"/>
      <c r="B155" s="4">
        <f>IF(A155="","",WEEKDAY(A155,2))</f>
        <v/>
      </c>
      <c r="C155" s="4">
        <f>IF(A155="","",IF(INDEX(Input!$B$11:$B$17, B155)=1, TRUE, FALSE))</f>
        <v/>
      </c>
      <c r="D155" s="5">
        <f>IF(A155="","", IF(C155, INDEX(Input!$C$11:$C$17, B155), 0))</f>
        <v/>
      </c>
      <c r="E155" s="5">
        <f>IF(A155="","", IF(C155, INDEX(Input!$D$11:$D$17, B155), 0))</f>
        <v/>
      </c>
      <c r="F155" s="4">
        <f>IF(A155="","", A155 - (B155-1))</f>
        <v/>
      </c>
      <c r="G155" s="4">
        <f>IF(A155="","", B155=7)</f>
        <v/>
      </c>
    </row>
    <row r="156">
      <c r="A156" s="4" t="n"/>
      <c r="B156" s="4">
        <f>IF(A156="","",WEEKDAY(A156,2))</f>
        <v/>
      </c>
      <c r="C156" s="4">
        <f>IF(A156="","",IF(INDEX(Input!$B$11:$B$17, B156)=1, TRUE, FALSE))</f>
        <v/>
      </c>
      <c r="D156" s="5">
        <f>IF(A156="","", IF(C156, INDEX(Input!$C$11:$C$17, B156), 0))</f>
        <v/>
      </c>
      <c r="E156" s="5">
        <f>IF(A156="","", IF(C156, INDEX(Input!$D$11:$D$17, B156), 0))</f>
        <v/>
      </c>
      <c r="F156" s="4">
        <f>IF(A156="","", A156 - (B156-1))</f>
        <v/>
      </c>
      <c r="G156" s="4">
        <f>IF(A156="","", B156=7)</f>
        <v/>
      </c>
    </row>
    <row r="157">
      <c r="A157" s="4" t="n"/>
      <c r="B157" s="4">
        <f>IF(A157="","",WEEKDAY(A157,2))</f>
        <v/>
      </c>
      <c r="C157" s="4">
        <f>IF(A157="","",IF(INDEX(Input!$B$11:$B$17, B157)=1, TRUE, FALSE))</f>
        <v/>
      </c>
      <c r="D157" s="5">
        <f>IF(A157="","", IF(C157, INDEX(Input!$C$11:$C$17, B157), 0))</f>
        <v/>
      </c>
      <c r="E157" s="5">
        <f>IF(A157="","", IF(C157, INDEX(Input!$D$11:$D$17, B157), 0))</f>
        <v/>
      </c>
      <c r="F157" s="4">
        <f>IF(A157="","", A157 - (B157-1))</f>
        <v/>
      </c>
      <c r="G157" s="4">
        <f>IF(A157="","", B157=7)</f>
        <v/>
      </c>
    </row>
    <row r="158">
      <c r="A158" s="4" t="n"/>
      <c r="B158" s="4">
        <f>IF(A158="","",WEEKDAY(A158,2))</f>
        <v/>
      </c>
      <c r="C158" s="4">
        <f>IF(A158="","",IF(INDEX(Input!$B$11:$B$17, B158)=1, TRUE, FALSE))</f>
        <v/>
      </c>
      <c r="D158" s="5">
        <f>IF(A158="","", IF(C158, INDEX(Input!$C$11:$C$17, B158), 0))</f>
        <v/>
      </c>
      <c r="E158" s="5">
        <f>IF(A158="","", IF(C158, INDEX(Input!$D$11:$D$17, B158), 0))</f>
        <v/>
      </c>
      <c r="F158" s="4">
        <f>IF(A158="","", A158 - (B158-1))</f>
        <v/>
      </c>
      <c r="G158" s="4">
        <f>IF(A158="","", B158=7)</f>
        <v/>
      </c>
    </row>
    <row r="159">
      <c r="A159" s="4" t="n"/>
      <c r="B159" s="4">
        <f>IF(A159="","",WEEKDAY(A159,2))</f>
        <v/>
      </c>
      <c r="C159" s="4">
        <f>IF(A159="","",IF(INDEX(Input!$B$11:$B$17, B159)=1, TRUE, FALSE))</f>
        <v/>
      </c>
      <c r="D159" s="5">
        <f>IF(A159="","", IF(C159, INDEX(Input!$C$11:$C$17, B159), 0))</f>
        <v/>
      </c>
      <c r="E159" s="5">
        <f>IF(A159="","", IF(C159, INDEX(Input!$D$11:$D$17, B159), 0))</f>
        <v/>
      </c>
      <c r="F159" s="4">
        <f>IF(A159="","", A159 - (B159-1))</f>
        <v/>
      </c>
      <c r="G159" s="4">
        <f>IF(A159="","", B159=7)</f>
        <v/>
      </c>
    </row>
    <row r="160">
      <c r="A160" s="4" t="n"/>
      <c r="B160" s="4">
        <f>IF(A160="","",WEEKDAY(A160,2))</f>
        <v/>
      </c>
      <c r="C160" s="4">
        <f>IF(A160="","",IF(INDEX(Input!$B$11:$B$17, B160)=1, TRUE, FALSE))</f>
        <v/>
      </c>
      <c r="D160" s="5">
        <f>IF(A160="","", IF(C160, INDEX(Input!$C$11:$C$17, B160), 0))</f>
        <v/>
      </c>
      <c r="E160" s="5">
        <f>IF(A160="","", IF(C160, INDEX(Input!$D$11:$D$17, B160), 0))</f>
        <v/>
      </c>
      <c r="F160" s="4">
        <f>IF(A160="","", A160 - (B160-1))</f>
        <v/>
      </c>
      <c r="G160" s="4">
        <f>IF(A160="","", B160=7)</f>
        <v/>
      </c>
    </row>
    <row r="161">
      <c r="A161" s="4" t="n"/>
      <c r="B161" s="4">
        <f>IF(A161="","",WEEKDAY(A161,2))</f>
        <v/>
      </c>
      <c r="C161" s="4">
        <f>IF(A161="","",IF(INDEX(Input!$B$11:$B$17, B161)=1, TRUE, FALSE))</f>
        <v/>
      </c>
      <c r="D161" s="5">
        <f>IF(A161="","", IF(C161, INDEX(Input!$C$11:$C$17, B161), 0))</f>
        <v/>
      </c>
      <c r="E161" s="5">
        <f>IF(A161="","", IF(C161, INDEX(Input!$D$11:$D$17, B161), 0))</f>
        <v/>
      </c>
      <c r="F161" s="4">
        <f>IF(A161="","", A161 - (B161-1))</f>
        <v/>
      </c>
      <c r="G161" s="4">
        <f>IF(A161="","", B161=7)</f>
        <v/>
      </c>
    </row>
    <row r="162">
      <c r="A162" s="4" t="n"/>
      <c r="B162" s="4">
        <f>IF(A162="","",WEEKDAY(A162,2))</f>
        <v/>
      </c>
      <c r="C162" s="4">
        <f>IF(A162="","",IF(INDEX(Input!$B$11:$B$17, B162)=1, TRUE, FALSE))</f>
        <v/>
      </c>
      <c r="D162" s="5">
        <f>IF(A162="","", IF(C162, INDEX(Input!$C$11:$C$17, B162), 0))</f>
        <v/>
      </c>
      <c r="E162" s="5">
        <f>IF(A162="","", IF(C162, INDEX(Input!$D$11:$D$17, B162), 0))</f>
        <v/>
      </c>
      <c r="F162" s="4">
        <f>IF(A162="","", A162 - (B162-1))</f>
        <v/>
      </c>
      <c r="G162" s="4">
        <f>IF(A162="","", B162=7)</f>
        <v/>
      </c>
    </row>
    <row r="163">
      <c r="A163" s="4" t="n"/>
      <c r="B163" s="4">
        <f>IF(A163="","",WEEKDAY(A163,2))</f>
        <v/>
      </c>
      <c r="C163" s="4">
        <f>IF(A163="","",IF(INDEX(Input!$B$11:$B$17, B163)=1, TRUE, FALSE))</f>
        <v/>
      </c>
      <c r="D163" s="5">
        <f>IF(A163="","", IF(C163, INDEX(Input!$C$11:$C$17, B163), 0))</f>
        <v/>
      </c>
      <c r="E163" s="5">
        <f>IF(A163="","", IF(C163, INDEX(Input!$D$11:$D$17, B163), 0))</f>
        <v/>
      </c>
      <c r="F163" s="4">
        <f>IF(A163="","", A163 - (B163-1))</f>
        <v/>
      </c>
      <c r="G163" s="4">
        <f>IF(A163="","", B163=7)</f>
        <v/>
      </c>
    </row>
    <row r="164">
      <c r="A164" s="4" t="n"/>
      <c r="B164" s="4">
        <f>IF(A164="","",WEEKDAY(A164,2))</f>
        <v/>
      </c>
      <c r="C164" s="4">
        <f>IF(A164="","",IF(INDEX(Input!$B$11:$B$17, B164)=1, TRUE, FALSE))</f>
        <v/>
      </c>
      <c r="D164" s="5">
        <f>IF(A164="","", IF(C164, INDEX(Input!$C$11:$C$17, B164), 0))</f>
        <v/>
      </c>
      <c r="E164" s="5">
        <f>IF(A164="","", IF(C164, INDEX(Input!$D$11:$D$17, B164), 0))</f>
        <v/>
      </c>
      <c r="F164" s="4">
        <f>IF(A164="","", A164 - (B164-1))</f>
        <v/>
      </c>
      <c r="G164" s="4">
        <f>IF(A164="","", B164=7)</f>
        <v/>
      </c>
    </row>
    <row r="165">
      <c r="A165" s="4" t="n"/>
      <c r="B165" s="4">
        <f>IF(A165="","",WEEKDAY(A165,2))</f>
        <v/>
      </c>
      <c r="C165" s="4">
        <f>IF(A165="","",IF(INDEX(Input!$B$11:$B$17, B165)=1, TRUE, FALSE))</f>
        <v/>
      </c>
      <c r="D165" s="5">
        <f>IF(A165="","", IF(C165, INDEX(Input!$C$11:$C$17, B165), 0))</f>
        <v/>
      </c>
      <c r="E165" s="5">
        <f>IF(A165="","", IF(C165, INDEX(Input!$D$11:$D$17, B165), 0))</f>
        <v/>
      </c>
      <c r="F165" s="4">
        <f>IF(A165="","", A165 - (B165-1))</f>
        <v/>
      </c>
      <c r="G165" s="4">
        <f>IF(A165="","", B165=7)</f>
        <v/>
      </c>
    </row>
    <row r="166">
      <c r="A166" s="4" t="n"/>
      <c r="B166" s="4">
        <f>IF(A166="","",WEEKDAY(A166,2))</f>
        <v/>
      </c>
      <c r="C166" s="4">
        <f>IF(A166="","",IF(INDEX(Input!$B$11:$B$17, B166)=1, TRUE, FALSE))</f>
        <v/>
      </c>
      <c r="D166" s="5">
        <f>IF(A166="","", IF(C166, INDEX(Input!$C$11:$C$17, B166), 0))</f>
        <v/>
      </c>
      <c r="E166" s="5">
        <f>IF(A166="","", IF(C166, INDEX(Input!$D$11:$D$17, B166), 0))</f>
        <v/>
      </c>
      <c r="F166" s="4">
        <f>IF(A166="","", A166 - (B166-1))</f>
        <v/>
      </c>
      <c r="G166" s="4">
        <f>IF(A166="","", B166=7)</f>
        <v/>
      </c>
    </row>
    <row r="167">
      <c r="A167" s="4" t="n"/>
      <c r="B167" s="4">
        <f>IF(A167="","",WEEKDAY(A167,2))</f>
        <v/>
      </c>
      <c r="C167" s="4">
        <f>IF(A167="","",IF(INDEX(Input!$B$11:$B$17, B167)=1, TRUE, FALSE))</f>
        <v/>
      </c>
      <c r="D167" s="5">
        <f>IF(A167="","", IF(C167, INDEX(Input!$C$11:$C$17, B167), 0))</f>
        <v/>
      </c>
      <c r="E167" s="5">
        <f>IF(A167="","", IF(C167, INDEX(Input!$D$11:$D$17, B167), 0))</f>
        <v/>
      </c>
      <c r="F167" s="4">
        <f>IF(A167="","", A167 - (B167-1))</f>
        <v/>
      </c>
      <c r="G167" s="4">
        <f>IF(A167="","", B167=7)</f>
        <v/>
      </c>
    </row>
    <row r="168">
      <c r="A168" s="4" t="n"/>
      <c r="B168" s="4">
        <f>IF(A168="","",WEEKDAY(A168,2))</f>
        <v/>
      </c>
      <c r="C168" s="4">
        <f>IF(A168="","",IF(INDEX(Input!$B$11:$B$17, B168)=1, TRUE, FALSE))</f>
        <v/>
      </c>
      <c r="D168" s="5">
        <f>IF(A168="","", IF(C168, INDEX(Input!$C$11:$C$17, B168), 0))</f>
        <v/>
      </c>
      <c r="E168" s="5">
        <f>IF(A168="","", IF(C168, INDEX(Input!$D$11:$D$17, B168), 0))</f>
        <v/>
      </c>
      <c r="F168" s="4">
        <f>IF(A168="","", A168 - (B168-1))</f>
        <v/>
      </c>
      <c r="G168" s="4">
        <f>IF(A168="","", B168=7)</f>
        <v/>
      </c>
    </row>
    <row r="169">
      <c r="A169" s="4" t="n"/>
      <c r="B169" s="4">
        <f>IF(A169="","",WEEKDAY(A169,2))</f>
        <v/>
      </c>
      <c r="C169" s="4">
        <f>IF(A169="","",IF(INDEX(Input!$B$11:$B$17, B169)=1, TRUE, FALSE))</f>
        <v/>
      </c>
      <c r="D169" s="5">
        <f>IF(A169="","", IF(C169, INDEX(Input!$C$11:$C$17, B169), 0))</f>
        <v/>
      </c>
      <c r="E169" s="5">
        <f>IF(A169="","", IF(C169, INDEX(Input!$D$11:$D$17, B169), 0))</f>
        <v/>
      </c>
      <c r="F169" s="4">
        <f>IF(A169="","", A169 - (B169-1))</f>
        <v/>
      </c>
      <c r="G169" s="4">
        <f>IF(A169="","", B169=7)</f>
        <v/>
      </c>
    </row>
    <row r="170">
      <c r="A170" s="4" t="n"/>
      <c r="B170" s="4">
        <f>IF(A170="","",WEEKDAY(A170,2))</f>
        <v/>
      </c>
      <c r="C170" s="4">
        <f>IF(A170="","",IF(INDEX(Input!$B$11:$B$17, B170)=1, TRUE, FALSE))</f>
        <v/>
      </c>
      <c r="D170" s="5">
        <f>IF(A170="","", IF(C170, INDEX(Input!$C$11:$C$17, B170), 0))</f>
        <v/>
      </c>
      <c r="E170" s="5">
        <f>IF(A170="","", IF(C170, INDEX(Input!$D$11:$D$17, B170), 0))</f>
        <v/>
      </c>
      <c r="F170" s="4">
        <f>IF(A170="","", A170 - (B170-1))</f>
        <v/>
      </c>
      <c r="G170" s="4">
        <f>IF(A170="","", B170=7)</f>
        <v/>
      </c>
    </row>
    <row r="171">
      <c r="A171" s="4" t="n"/>
      <c r="B171" s="4">
        <f>IF(A171="","",WEEKDAY(A171,2))</f>
        <v/>
      </c>
      <c r="C171" s="4">
        <f>IF(A171="","",IF(INDEX(Input!$B$11:$B$17, B171)=1, TRUE, FALSE))</f>
        <v/>
      </c>
      <c r="D171" s="5">
        <f>IF(A171="","", IF(C171, INDEX(Input!$C$11:$C$17, B171), 0))</f>
        <v/>
      </c>
      <c r="E171" s="5">
        <f>IF(A171="","", IF(C171, INDEX(Input!$D$11:$D$17, B171), 0))</f>
        <v/>
      </c>
      <c r="F171" s="4">
        <f>IF(A171="","", A171 - (B171-1))</f>
        <v/>
      </c>
      <c r="G171" s="4">
        <f>IF(A171="","", B171=7)</f>
        <v/>
      </c>
    </row>
    <row r="172">
      <c r="A172" s="4" t="n"/>
      <c r="B172" s="4">
        <f>IF(A172="","",WEEKDAY(A172,2))</f>
        <v/>
      </c>
      <c r="C172" s="4">
        <f>IF(A172="","",IF(INDEX(Input!$B$11:$B$17, B172)=1, TRUE, FALSE))</f>
        <v/>
      </c>
      <c r="D172" s="5">
        <f>IF(A172="","", IF(C172, INDEX(Input!$C$11:$C$17, B172), 0))</f>
        <v/>
      </c>
      <c r="E172" s="5">
        <f>IF(A172="","", IF(C172, INDEX(Input!$D$11:$D$17, B172), 0))</f>
        <v/>
      </c>
      <c r="F172" s="4">
        <f>IF(A172="","", A172 - (B172-1))</f>
        <v/>
      </c>
      <c r="G172" s="4">
        <f>IF(A172="","", B172=7)</f>
        <v/>
      </c>
    </row>
    <row r="173">
      <c r="A173" s="4" t="n"/>
      <c r="B173" s="4">
        <f>IF(A173="","",WEEKDAY(A173,2))</f>
        <v/>
      </c>
      <c r="C173" s="4">
        <f>IF(A173="","",IF(INDEX(Input!$B$11:$B$17, B173)=1, TRUE, FALSE))</f>
        <v/>
      </c>
      <c r="D173" s="5">
        <f>IF(A173="","", IF(C173, INDEX(Input!$C$11:$C$17, B173), 0))</f>
        <v/>
      </c>
      <c r="E173" s="5">
        <f>IF(A173="","", IF(C173, INDEX(Input!$D$11:$D$17, B173), 0))</f>
        <v/>
      </c>
      <c r="F173" s="4">
        <f>IF(A173="","", A173 - (B173-1))</f>
        <v/>
      </c>
      <c r="G173" s="4">
        <f>IF(A173="","", B173=7)</f>
        <v/>
      </c>
    </row>
    <row r="174">
      <c r="A174" s="4" t="n"/>
      <c r="B174" s="4">
        <f>IF(A174="","",WEEKDAY(A174,2))</f>
        <v/>
      </c>
      <c r="C174" s="4">
        <f>IF(A174="","",IF(INDEX(Input!$B$11:$B$17, B174)=1, TRUE, FALSE))</f>
        <v/>
      </c>
      <c r="D174" s="5">
        <f>IF(A174="","", IF(C174, INDEX(Input!$C$11:$C$17, B174), 0))</f>
        <v/>
      </c>
      <c r="E174" s="5">
        <f>IF(A174="","", IF(C174, INDEX(Input!$D$11:$D$17, B174), 0))</f>
        <v/>
      </c>
      <c r="F174" s="4">
        <f>IF(A174="","", A174 - (B174-1))</f>
        <v/>
      </c>
      <c r="G174" s="4">
        <f>IF(A174="","", B174=7)</f>
        <v/>
      </c>
    </row>
    <row r="175">
      <c r="A175" s="4" t="n"/>
      <c r="B175" s="4">
        <f>IF(A175="","",WEEKDAY(A175,2))</f>
        <v/>
      </c>
      <c r="C175" s="4">
        <f>IF(A175="","",IF(INDEX(Input!$B$11:$B$17, B175)=1, TRUE, FALSE))</f>
        <v/>
      </c>
      <c r="D175" s="5">
        <f>IF(A175="","", IF(C175, INDEX(Input!$C$11:$C$17, B175), 0))</f>
        <v/>
      </c>
      <c r="E175" s="5">
        <f>IF(A175="","", IF(C175, INDEX(Input!$D$11:$D$17, B175), 0))</f>
        <v/>
      </c>
      <c r="F175" s="4">
        <f>IF(A175="","", A175 - (B175-1))</f>
        <v/>
      </c>
      <c r="G175" s="4">
        <f>IF(A175="","", B175=7)</f>
        <v/>
      </c>
    </row>
    <row r="176">
      <c r="A176" s="4" t="n"/>
      <c r="B176" s="4">
        <f>IF(A176="","",WEEKDAY(A176,2))</f>
        <v/>
      </c>
      <c r="C176" s="4">
        <f>IF(A176="","",IF(INDEX(Input!$B$11:$B$17, B176)=1, TRUE, FALSE))</f>
        <v/>
      </c>
      <c r="D176" s="5">
        <f>IF(A176="","", IF(C176, INDEX(Input!$C$11:$C$17, B176), 0))</f>
        <v/>
      </c>
      <c r="E176" s="5">
        <f>IF(A176="","", IF(C176, INDEX(Input!$D$11:$D$17, B176), 0))</f>
        <v/>
      </c>
      <c r="F176" s="4">
        <f>IF(A176="","", A176 - (B176-1))</f>
        <v/>
      </c>
      <c r="G176" s="4">
        <f>IF(A176="","", B176=7)</f>
        <v/>
      </c>
    </row>
    <row r="177">
      <c r="A177" s="4" t="n"/>
      <c r="B177" s="4">
        <f>IF(A177="","",WEEKDAY(A177,2))</f>
        <v/>
      </c>
      <c r="C177" s="4">
        <f>IF(A177="","",IF(INDEX(Input!$B$11:$B$17, B177)=1, TRUE, FALSE))</f>
        <v/>
      </c>
      <c r="D177" s="5">
        <f>IF(A177="","", IF(C177, INDEX(Input!$C$11:$C$17, B177), 0))</f>
        <v/>
      </c>
      <c r="E177" s="5">
        <f>IF(A177="","", IF(C177, INDEX(Input!$D$11:$D$17, B177), 0))</f>
        <v/>
      </c>
      <c r="F177" s="4">
        <f>IF(A177="","", A177 - (B177-1))</f>
        <v/>
      </c>
      <c r="G177" s="4">
        <f>IF(A177="","", B177=7)</f>
        <v/>
      </c>
    </row>
    <row r="178">
      <c r="A178" s="4" t="n"/>
      <c r="B178" s="4">
        <f>IF(A178="","",WEEKDAY(A178,2))</f>
        <v/>
      </c>
      <c r="C178" s="4">
        <f>IF(A178="","",IF(INDEX(Input!$B$11:$B$17, B178)=1, TRUE, FALSE))</f>
        <v/>
      </c>
      <c r="D178" s="5">
        <f>IF(A178="","", IF(C178, INDEX(Input!$C$11:$C$17, B178), 0))</f>
        <v/>
      </c>
      <c r="E178" s="5">
        <f>IF(A178="","", IF(C178, INDEX(Input!$D$11:$D$17, B178), 0))</f>
        <v/>
      </c>
      <c r="F178" s="4">
        <f>IF(A178="","", A178 - (B178-1))</f>
        <v/>
      </c>
      <c r="G178" s="4">
        <f>IF(A178="","", B178=7)</f>
        <v/>
      </c>
    </row>
    <row r="179">
      <c r="A179" s="4" t="n"/>
      <c r="B179" s="4">
        <f>IF(A179="","",WEEKDAY(A179,2))</f>
        <v/>
      </c>
      <c r="C179" s="4">
        <f>IF(A179="","",IF(INDEX(Input!$B$11:$B$17, B179)=1, TRUE, FALSE))</f>
        <v/>
      </c>
      <c r="D179" s="5">
        <f>IF(A179="","", IF(C179, INDEX(Input!$C$11:$C$17, B179), 0))</f>
        <v/>
      </c>
      <c r="E179" s="5">
        <f>IF(A179="","", IF(C179, INDEX(Input!$D$11:$D$17, B179), 0))</f>
        <v/>
      </c>
      <c r="F179" s="4">
        <f>IF(A179="","", A179 - (B179-1))</f>
        <v/>
      </c>
      <c r="G179" s="4">
        <f>IF(A179="","", B179=7)</f>
        <v/>
      </c>
    </row>
    <row r="180">
      <c r="A180" s="4" t="n"/>
      <c r="B180" s="4">
        <f>IF(A180="","",WEEKDAY(A180,2))</f>
        <v/>
      </c>
      <c r="C180" s="4">
        <f>IF(A180="","",IF(INDEX(Input!$B$11:$B$17, B180)=1, TRUE, FALSE))</f>
        <v/>
      </c>
      <c r="D180" s="5">
        <f>IF(A180="","", IF(C180, INDEX(Input!$C$11:$C$17, B180), 0))</f>
        <v/>
      </c>
      <c r="E180" s="5">
        <f>IF(A180="","", IF(C180, INDEX(Input!$D$11:$D$17, B180), 0))</f>
        <v/>
      </c>
      <c r="F180" s="4">
        <f>IF(A180="","", A180 - (B180-1))</f>
        <v/>
      </c>
      <c r="G180" s="4">
        <f>IF(A180="","", B180=7)</f>
        <v/>
      </c>
    </row>
    <row r="181">
      <c r="A181" s="4" t="n"/>
      <c r="B181" s="4">
        <f>IF(A181="","",WEEKDAY(A181,2))</f>
        <v/>
      </c>
      <c r="C181" s="4">
        <f>IF(A181="","",IF(INDEX(Input!$B$11:$B$17, B181)=1, TRUE, FALSE))</f>
        <v/>
      </c>
      <c r="D181" s="5">
        <f>IF(A181="","", IF(C181, INDEX(Input!$C$11:$C$17, B181), 0))</f>
        <v/>
      </c>
      <c r="E181" s="5">
        <f>IF(A181="","", IF(C181, INDEX(Input!$D$11:$D$17, B181), 0))</f>
        <v/>
      </c>
      <c r="F181" s="4">
        <f>IF(A181="","", A181 - (B181-1))</f>
        <v/>
      </c>
      <c r="G181" s="4">
        <f>IF(A181="","", B181=7)</f>
        <v/>
      </c>
    </row>
    <row r="182">
      <c r="A182" s="4" t="n"/>
      <c r="B182" s="4">
        <f>IF(A182="","",WEEKDAY(A182,2))</f>
        <v/>
      </c>
      <c r="C182" s="4">
        <f>IF(A182="","",IF(INDEX(Input!$B$11:$B$17, B182)=1, TRUE, FALSE))</f>
        <v/>
      </c>
      <c r="D182" s="5">
        <f>IF(A182="","", IF(C182, INDEX(Input!$C$11:$C$17, B182), 0))</f>
        <v/>
      </c>
      <c r="E182" s="5">
        <f>IF(A182="","", IF(C182, INDEX(Input!$D$11:$D$17, B182), 0))</f>
        <v/>
      </c>
      <c r="F182" s="4">
        <f>IF(A182="","", A182 - (B182-1))</f>
        <v/>
      </c>
      <c r="G182" s="4">
        <f>IF(A182="","", B182=7)</f>
        <v/>
      </c>
    </row>
    <row r="183">
      <c r="A183" s="4" t="n"/>
      <c r="B183" s="4">
        <f>IF(A183="","",WEEKDAY(A183,2))</f>
        <v/>
      </c>
      <c r="C183" s="4">
        <f>IF(A183="","",IF(INDEX(Input!$B$11:$B$17, B183)=1, TRUE, FALSE))</f>
        <v/>
      </c>
      <c r="D183" s="5">
        <f>IF(A183="","", IF(C183, INDEX(Input!$C$11:$C$17, B183), 0))</f>
        <v/>
      </c>
      <c r="E183" s="5">
        <f>IF(A183="","", IF(C183, INDEX(Input!$D$11:$D$17, B183), 0))</f>
        <v/>
      </c>
      <c r="F183" s="4">
        <f>IF(A183="","", A183 - (B183-1))</f>
        <v/>
      </c>
      <c r="G183" s="4">
        <f>IF(A183="","", B183=7)</f>
        <v/>
      </c>
    </row>
    <row r="184">
      <c r="A184" s="4" t="n"/>
      <c r="B184" s="4">
        <f>IF(A184="","",WEEKDAY(A184,2))</f>
        <v/>
      </c>
      <c r="C184" s="4">
        <f>IF(A184="","",IF(INDEX(Input!$B$11:$B$17, B184)=1, TRUE, FALSE))</f>
        <v/>
      </c>
      <c r="D184" s="5">
        <f>IF(A184="","", IF(C184, INDEX(Input!$C$11:$C$17, B184), 0))</f>
        <v/>
      </c>
      <c r="E184" s="5">
        <f>IF(A184="","", IF(C184, INDEX(Input!$D$11:$D$17, B184), 0))</f>
        <v/>
      </c>
      <c r="F184" s="4">
        <f>IF(A184="","", A184 - (B184-1))</f>
        <v/>
      </c>
      <c r="G184" s="4">
        <f>IF(A184="","", B184=7)</f>
        <v/>
      </c>
    </row>
    <row r="185">
      <c r="A185" s="4" t="n"/>
      <c r="B185" s="4">
        <f>IF(A185="","",WEEKDAY(A185,2))</f>
        <v/>
      </c>
      <c r="C185" s="4">
        <f>IF(A185="","",IF(INDEX(Input!$B$11:$B$17, B185)=1, TRUE, FALSE))</f>
        <v/>
      </c>
      <c r="D185" s="5">
        <f>IF(A185="","", IF(C185, INDEX(Input!$C$11:$C$17, B185), 0))</f>
        <v/>
      </c>
      <c r="E185" s="5">
        <f>IF(A185="","", IF(C185, INDEX(Input!$D$11:$D$17, B185), 0))</f>
        <v/>
      </c>
      <c r="F185" s="4">
        <f>IF(A185="","", A185 - (B185-1))</f>
        <v/>
      </c>
      <c r="G185" s="4">
        <f>IF(A185="","", B185=7)</f>
        <v/>
      </c>
    </row>
    <row r="186">
      <c r="A186" s="4" t="n"/>
      <c r="B186" s="4">
        <f>IF(A186="","",WEEKDAY(A186,2))</f>
        <v/>
      </c>
      <c r="C186" s="4">
        <f>IF(A186="","",IF(INDEX(Input!$B$11:$B$17, B186)=1, TRUE, FALSE))</f>
        <v/>
      </c>
      <c r="D186" s="5">
        <f>IF(A186="","", IF(C186, INDEX(Input!$C$11:$C$17, B186), 0))</f>
        <v/>
      </c>
      <c r="E186" s="5">
        <f>IF(A186="","", IF(C186, INDEX(Input!$D$11:$D$17, B186), 0))</f>
        <v/>
      </c>
      <c r="F186" s="4">
        <f>IF(A186="","", A186 - (B186-1))</f>
        <v/>
      </c>
      <c r="G186" s="4">
        <f>IF(A186="","", B186=7)</f>
        <v/>
      </c>
    </row>
    <row r="187">
      <c r="A187" s="4" t="n"/>
      <c r="B187" s="4">
        <f>IF(A187="","",WEEKDAY(A187,2))</f>
        <v/>
      </c>
      <c r="C187" s="4">
        <f>IF(A187="","",IF(INDEX(Input!$B$11:$B$17, B187)=1, TRUE, FALSE))</f>
        <v/>
      </c>
      <c r="D187" s="5">
        <f>IF(A187="","", IF(C187, INDEX(Input!$C$11:$C$17, B187), 0))</f>
        <v/>
      </c>
      <c r="E187" s="5">
        <f>IF(A187="","", IF(C187, INDEX(Input!$D$11:$D$17, B187), 0))</f>
        <v/>
      </c>
      <c r="F187" s="4">
        <f>IF(A187="","", A187 - (B187-1))</f>
        <v/>
      </c>
      <c r="G187" s="4">
        <f>IF(A187="","", B187=7)</f>
        <v/>
      </c>
    </row>
    <row r="188">
      <c r="A188" s="4" t="n"/>
      <c r="B188" s="4">
        <f>IF(A188="","",WEEKDAY(A188,2))</f>
        <v/>
      </c>
      <c r="C188" s="4">
        <f>IF(A188="","",IF(INDEX(Input!$B$11:$B$17, B188)=1, TRUE, FALSE))</f>
        <v/>
      </c>
      <c r="D188" s="5">
        <f>IF(A188="","", IF(C188, INDEX(Input!$C$11:$C$17, B188), 0))</f>
        <v/>
      </c>
      <c r="E188" s="5">
        <f>IF(A188="","", IF(C188, INDEX(Input!$D$11:$D$17, B188), 0))</f>
        <v/>
      </c>
      <c r="F188" s="4">
        <f>IF(A188="","", A188 - (B188-1))</f>
        <v/>
      </c>
      <c r="G188" s="4">
        <f>IF(A188="","", B188=7)</f>
        <v/>
      </c>
    </row>
    <row r="189">
      <c r="A189" s="4" t="n"/>
      <c r="B189" s="4">
        <f>IF(A189="","",WEEKDAY(A189,2))</f>
        <v/>
      </c>
      <c r="C189" s="4">
        <f>IF(A189="","",IF(INDEX(Input!$B$11:$B$17, B189)=1, TRUE, FALSE))</f>
        <v/>
      </c>
      <c r="D189" s="5">
        <f>IF(A189="","", IF(C189, INDEX(Input!$C$11:$C$17, B189), 0))</f>
        <v/>
      </c>
      <c r="E189" s="5">
        <f>IF(A189="","", IF(C189, INDEX(Input!$D$11:$D$17, B189), 0))</f>
        <v/>
      </c>
      <c r="F189" s="4">
        <f>IF(A189="","", A189 - (B189-1))</f>
        <v/>
      </c>
      <c r="G189" s="4">
        <f>IF(A189="","", B189=7)</f>
        <v/>
      </c>
    </row>
    <row r="190">
      <c r="A190" s="4" t="n"/>
      <c r="B190" s="4">
        <f>IF(A190="","",WEEKDAY(A190,2))</f>
        <v/>
      </c>
      <c r="C190" s="4">
        <f>IF(A190="","",IF(INDEX(Input!$B$11:$B$17, B190)=1, TRUE, FALSE))</f>
        <v/>
      </c>
      <c r="D190" s="5">
        <f>IF(A190="","", IF(C190, INDEX(Input!$C$11:$C$17, B190), 0))</f>
        <v/>
      </c>
      <c r="E190" s="5">
        <f>IF(A190="","", IF(C190, INDEX(Input!$D$11:$D$17, B190), 0))</f>
        <v/>
      </c>
      <c r="F190" s="4">
        <f>IF(A190="","", A190 - (B190-1))</f>
        <v/>
      </c>
      <c r="G190" s="4">
        <f>IF(A190="","", B190=7)</f>
        <v/>
      </c>
    </row>
    <row r="191">
      <c r="A191" s="4" t="n"/>
      <c r="B191" s="4">
        <f>IF(A191="","",WEEKDAY(A191,2))</f>
        <v/>
      </c>
      <c r="C191" s="4">
        <f>IF(A191="","",IF(INDEX(Input!$B$11:$B$17, B191)=1, TRUE, FALSE))</f>
        <v/>
      </c>
      <c r="D191" s="5">
        <f>IF(A191="","", IF(C191, INDEX(Input!$C$11:$C$17, B191), 0))</f>
        <v/>
      </c>
      <c r="E191" s="5">
        <f>IF(A191="","", IF(C191, INDEX(Input!$D$11:$D$17, B191), 0))</f>
        <v/>
      </c>
      <c r="F191" s="4">
        <f>IF(A191="","", A191 - (B191-1))</f>
        <v/>
      </c>
      <c r="G191" s="4">
        <f>IF(A191="","", B191=7)</f>
        <v/>
      </c>
    </row>
    <row r="192">
      <c r="A192" s="4" t="n"/>
      <c r="B192" s="4">
        <f>IF(A192="","",WEEKDAY(A192,2))</f>
        <v/>
      </c>
      <c r="C192" s="4">
        <f>IF(A192="","",IF(INDEX(Input!$B$11:$B$17, B192)=1, TRUE, FALSE))</f>
        <v/>
      </c>
      <c r="D192" s="5">
        <f>IF(A192="","", IF(C192, INDEX(Input!$C$11:$C$17, B192), 0))</f>
        <v/>
      </c>
      <c r="E192" s="5">
        <f>IF(A192="","", IF(C192, INDEX(Input!$D$11:$D$17, B192), 0))</f>
        <v/>
      </c>
      <c r="F192" s="4">
        <f>IF(A192="","", A192 - (B192-1))</f>
        <v/>
      </c>
      <c r="G192" s="4">
        <f>IF(A192="","", B192=7)</f>
        <v/>
      </c>
    </row>
    <row r="193">
      <c r="A193" s="4" t="n"/>
      <c r="B193" s="4">
        <f>IF(A193="","",WEEKDAY(A193,2))</f>
        <v/>
      </c>
      <c r="C193" s="4">
        <f>IF(A193="","",IF(INDEX(Input!$B$11:$B$17, B193)=1, TRUE, FALSE))</f>
        <v/>
      </c>
      <c r="D193" s="5">
        <f>IF(A193="","", IF(C193, INDEX(Input!$C$11:$C$17, B193), 0))</f>
        <v/>
      </c>
      <c r="E193" s="5">
        <f>IF(A193="","", IF(C193, INDEX(Input!$D$11:$D$17, B193), 0))</f>
        <v/>
      </c>
      <c r="F193" s="4">
        <f>IF(A193="","", A193 - (B193-1))</f>
        <v/>
      </c>
      <c r="G193" s="4">
        <f>IF(A193="","", B193=7)</f>
        <v/>
      </c>
    </row>
    <row r="194">
      <c r="A194" s="4" t="n"/>
      <c r="B194" s="4">
        <f>IF(A194="","",WEEKDAY(A194,2))</f>
        <v/>
      </c>
      <c r="C194" s="4">
        <f>IF(A194="","",IF(INDEX(Input!$B$11:$B$17, B194)=1, TRUE, FALSE))</f>
        <v/>
      </c>
      <c r="D194" s="5">
        <f>IF(A194="","", IF(C194, INDEX(Input!$C$11:$C$17, B194), 0))</f>
        <v/>
      </c>
      <c r="E194" s="5">
        <f>IF(A194="","", IF(C194, INDEX(Input!$D$11:$D$17, B194), 0))</f>
        <v/>
      </c>
      <c r="F194" s="4">
        <f>IF(A194="","", A194 - (B194-1))</f>
        <v/>
      </c>
      <c r="G194" s="4">
        <f>IF(A194="","", B194=7)</f>
        <v/>
      </c>
    </row>
    <row r="195">
      <c r="A195" s="4" t="n"/>
      <c r="B195" s="4">
        <f>IF(A195="","",WEEKDAY(A195,2))</f>
        <v/>
      </c>
      <c r="C195" s="4">
        <f>IF(A195="","",IF(INDEX(Input!$B$11:$B$17, B195)=1, TRUE, FALSE))</f>
        <v/>
      </c>
      <c r="D195" s="5">
        <f>IF(A195="","", IF(C195, INDEX(Input!$C$11:$C$17, B195), 0))</f>
        <v/>
      </c>
      <c r="E195" s="5">
        <f>IF(A195="","", IF(C195, INDEX(Input!$D$11:$D$17, B195), 0))</f>
        <v/>
      </c>
      <c r="F195" s="4">
        <f>IF(A195="","", A195 - (B195-1))</f>
        <v/>
      </c>
      <c r="G195" s="4">
        <f>IF(A195="","", B195=7)</f>
        <v/>
      </c>
    </row>
    <row r="196">
      <c r="A196" s="4" t="n"/>
      <c r="B196" s="4">
        <f>IF(A196="","",WEEKDAY(A196,2))</f>
        <v/>
      </c>
      <c r="C196" s="4">
        <f>IF(A196="","",IF(INDEX(Input!$B$11:$B$17, B196)=1, TRUE, FALSE))</f>
        <v/>
      </c>
      <c r="D196" s="5">
        <f>IF(A196="","", IF(C196, INDEX(Input!$C$11:$C$17, B196), 0))</f>
        <v/>
      </c>
      <c r="E196" s="5">
        <f>IF(A196="","", IF(C196, INDEX(Input!$D$11:$D$17, B196), 0))</f>
        <v/>
      </c>
      <c r="F196" s="4">
        <f>IF(A196="","", A196 - (B196-1))</f>
        <v/>
      </c>
      <c r="G196" s="4">
        <f>IF(A196="","", B196=7)</f>
        <v/>
      </c>
    </row>
    <row r="197">
      <c r="A197" s="4" t="n"/>
      <c r="B197" s="4">
        <f>IF(A197="","",WEEKDAY(A197,2))</f>
        <v/>
      </c>
      <c r="C197" s="4">
        <f>IF(A197="","",IF(INDEX(Input!$B$11:$B$17, B197)=1, TRUE, FALSE))</f>
        <v/>
      </c>
      <c r="D197" s="5">
        <f>IF(A197="","", IF(C197, INDEX(Input!$C$11:$C$17, B197), 0))</f>
        <v/>
      </c>
      <c r="E197" s="5">
        <f>IF(A197="","", IF(C197, INDEX(Input!$D$11:$D$17, B197), 0))</f>
        <v/>
      </c>
      <c r="F197" s="4">
        <f>IF(A197="","", A197 - (B197-1))</f>
        <v/>
      </c>
      <c r="G197" s="4">
        <f>IF(A197="","", B197=7)</f>
        <v/>
      </c>
    </row>
    <row r="198">
      <c r="A198" s="4" t="n"/>
      <c r="B198" s="4">
        <f>IF(A198="","",WEEKDAY(A198,2))</f>
        <v/>
      </c>
      <c r="C198" s="4">
        <f>IF(A198="","",IF(INDEX(Input!$B$11:$B$17, B198)=1, TRUE, FALSE))</f>
        <v/>
      </c>
      <c r="D198" s="5">
        <f>IF(A198="","", IF(C198, INDEX(Input!$C$11:$C$17, B198), 0))</f>
        <v/>
      </c>
      <c r="E198" s="5">
        <f>IF(A198="","", IF(C198, INDEX(Input!$D$11:$D$17, B198), 0))</f>
        <v/>
      </c>
      <c r="F198" s="4">
        <f>IF(A198="","", A198 - (B198-1))</f>
        <v/>
      </c>
      <c r="G198" s="4">
        <f>IF(A198="","", B198=7)</f>
        <v/>
      </c>
    </row>
    <row r="199">
      <c r="A199" s="4" t="n"/>
      <c r="B199" s="4">
        <f>IF(A199="","",WEEKDAY(A199,2))</f>
        <v/>
      </c>
      <c r="C199" s="4">
        <f>IF(A199="","",IF(INDEX(Input!$B$11:$B$17, B199)=1, TRUE, FALSE))</f>
        <v/>
      </c>
      <c r="D199" s="5">
        <f>IF(A199="","", IF(C199, INDEX(Input!$C$11:$C$17, B199), 0))</f>
        <v/>
      </c>
      <c r="E199" s="5">
        <f>IF(A199="","", IF(C199, INDEX(Input!$D$11:$D$17, B199), 0))</f>
        <v/>
      </c>
      <c r="F199" s="4">
        <f>IF(A199="","", A199 - (B199-1))</f>
        <v/>
      </c>
      <c r="G199" s="4">
        <f>IF(A199="","", B199=7)</f>
        <v/>
      </c>
    </row>
    <row r="200">
      <c r="A200" s="4" t="n"/>
      <c r="B200" s="4">
        <f>IF(A200="","",WEEKDAY(A200,2))</f>
        <v/>
      </c>
      <c r="C200" s="4">
        <f>IF(A200="","",IF(INDEX(Input!$B$11:$B$17, B200)=1, TRUE, FALSE))</f>
        <v/>
      </c>
      <c r="D200" s="5">
        <f>IF(A200="","", IF(C200, INDEX(Input!$C$11:$C$17, B200), 0))</f>
        <v/>
      </c>
      <c r="E200" s="5">
        <f>IF(A200="","", IF(C200, INDEX(Input!$D$11:$D$17, B200), 0))</f>
        <v/>
      </c>
      <c r="F200" s="4">
        <f>IF(A200="","", A200 - (B200-1))</f>
        <v/>
      </c>
      <c r="G200" s="4">
        <f>IF(A200="","", B200=7)</f>
        <v/>
      </c>
    </row>
    <row r="201">
      <c r="A201" s="4" t="n"/>
      <c r="B201" s="4">
        <f>IF(A201="","",WEEKDAY(A201,2))</f>
        <v/>
      </c>
      <c r="C201" s="4">
        <f>IF(A201="","",IF(INDEX(Input!$B$11:$B$17, B201)=1, TRUE, FALSE))</f>
        <v/>
      </c>
      <c r="D201" s="5">
        <f>IF(A201="","", IF(C201, INDEX(Input!$C$11:$C$17, B201), 0))</f>
        <v/>
      </c>
      <c r="E201" s="5">
        <f>IF(A201="","", IF(C201, INDEX(Input!$D$11:$D$17, B201), 0))</f>
        <v/>
      </c>
      <c r="F201" s="4">
        <f>IF(A201="","", A201 - (B201-1))</f>
        <v/>
      </c>
      <c r="G201" s="4">
        <f>IF(A201="","", B201=7)</f>
        <v/>
      </c>
    </row>
    <row r="202">
      <c r="A202" s="4" t="n"/>
      <c r="B202" s="4">
        <f>IF(A202="","",WEEKDAY(A202,2))</f>
        <v/>
      </c>
      <c r="C202" s="4">
        <f>IF(A202="","",IF(INDEX(Input!$B$11:$B$17, B202)=1, TRUE, FALSE))</f>
        <v/>
      </c>
      <c r="D202" s="5">
        <f>IF(A202="","", IF(C202, INDEX(Input!$C$11:$C$17, B202), 0))</f>
        <v/>
      </c>
      <c r="E202" s="5">
        <f>IF(A202="","", IF(C202, INDEX(Input!$D$11:$D$17, B202), 0))</f>
        <v/>
      </c>
      <c r="F202" s="4">
        <f>IF(A202="","", A202 - (B202-1))</f>
        <v/>
      </c>
      <c r="G202" s="4">
        <f>IF(A202="","", B202=7)</f>
        <v/>
      </c>
    </row>
    <row r="203">
      <c r="A203" s="4" t="n"/>
      <c r="B203" s="4">
        <f>IF(A203="","",WEEKDAY(A203,2))</f>
        <v/>
      </c>
      <c r="C203" s="4">
        <f>IF(A203="","",IF(INDEX(Input!$B$11:$B$17, B203)=1, TRUE, FALSE))</f>
        <v/>
      </c>
      <c r="D203" s="5">
        <f>IF(A203="","", IF(C203, INDEX(Input!$C$11:$C$17, B203), 0))</f>
        <v/>
      </c>
      <c r="E203" s="5">
        <f>IF(A203="","", IF(C203, INDEX(Input!$D$11:$D$17, B203), 0))</f>
        <v/>
      </c>
      <c r="F203" s="4">
        <f>IF(A203="","", A203 - (B203-1))</f>
        <v/>
      </c>
      <c r="G203" s="4">
        <f>IF(A203="","", B203=7)</f>
        <v/>
      </c>
    </row>
    <row r="204">
      <c r="A204" s="4" t="n"/>
      <c r="B204" s="4">
        <f>IF(A204="","",WEEKDAY(A204,2))</f>
        <v/>
      </c>
      <c r="C204" s="4">
        <f>IF(A204="","",IF(INDEX(Input!$B$11:$B$17, B204)=1, TRUE, FALSE))</f>
        <v/>
      </c>
      <c r="D204" s="5">
        <f>IF(A204="","", IF(C204, INDEX(Input!$C$11:$C$17, B204), 0))</f>
        <v/>
      </c>
      <c r="E204" s="5">
        <f>IF(A204="","", IF(C204, INDEX(Input!$D$11:$D$17, B204), 0))</f>
        <v/>
      </c>
      <c r="F204" s="4">
        <f>IF(A204="","", A204 - (B204-1))</f>
        <v/>
      </c>
      <c r="G204" s="4">
        <f>IF(A204="","", B204=7)</f>
        <v/>
      </c>
    </row>
    <row r="205">
      <c r="A205" s="4" t="n"/>
      <c r="B205" s="4">
        <f>IF(A205="","",WEEKDAY(A205,2))</f>
        <v/>
      </c>
      <c r="C205" s="4">
        <f>IF(A205="","",IF(INDEX(Input!$B$11:$B$17, B205)=1, TRUE, FALSE))</f>
        <v/>
      </c>
      <c r="D205" s="5">
        <f>IF(A205="","", IF(C205, INDEX(Input!$C$11:$C$17, B205), 0))</f>
        <v/>
      </c>
      <c r="E205" s="5">
        <f>IF(A205="","", IF(C205, INDEX(Input!$D$11:$D$17, B205), 0))</f>
        <v/>
      </c>
      <c r="F205" s="4">
        <f>IF(A205="","", A205 - (B205-1))</f>
        <v/>
      </c>
      <c r="G205" s="4">
        <f>IF(A205="","", B205=7)</f>
        <v/>
      </c>
    </row>
    <row r="206">
      <c r="A206" s="4" t="n"/>
      <c r="B206" s="4">
        <f>IF(A206="","",WEEKDAY(A206,2))</f>
        <v/>
      </c>
      <c r="C206" s="4">
        <f>IF(A206="","",IF(INDEX(Input!$B$11:$B$17, B206)=1, TRUE, FALSE))</f>
        <v/>
      </c>
      <c r="D206" s="5">
        <f>IF(A206="","", IF(C206, INDEX(Input!$C$11:$C$17, B206), 0))</f>
        <v/>
      </c>
      <c r="E206" s="5">
        <f>IF(A206="","", IF(C206, INDEX(Input!$D$11:$D$17, B206), 0))</f>
        <v/>
      </c>
      <c r="F206" s="4">
        <f>IF(A206="","", A206 - (B206-1))</f>
        <v/>
      </c>
      <c r="G206" s="4">
        <f>IF(A206="","", B206=7)</f>
        <v/>
      </c>
    </row>
    <row r="207">
      <c r="A207" s="4" t="n"/>
      <c r="B207" s="4">
        <f>IF(A207="","",WEEKDAY(A207,2))</f>
        <v/>
      </c>
      <c r="C207" s="4">
        <f>IF(A207="","",IF(INDEX(Input!$B$11:$B$17, B207)=1, TRUE, FALSE))</f>
        <v/>
      </c>
      <c r="D207" s="5">
        <f>IF(A207="","", IF(C207, INDEX(Input!$C$11:$C$17, B207), 0))</f>
        <v/>
      </c>
      <c r="E207" s="5">
        <f>IF(A207="","", IF(C207, INDEX(Input!$D$11:$D$17, B207), 0))</f>
        <v/>
      </c>
      <c r="F207" s="4">
        <f>IF(A207="","", A207 - (B207-1))</f>
        <v/>
      </c>
      <c r="G207" s="4">
        <f>IF(A207="","", B207=7)</f>
        <v/>
      </c>
    </row>
    <row r="208">
      <c r="A208" s="4" t="n"/>
      <c r="B208" s="4">
        <f>IF(A208="","",WEEKDAY(A208,2))</f>
        <v/>
      </c>
      <c r="C208" s="4">
        <f>IF(A208="","",IF(INDEX(Input!$B$11:$B$17, B208)=1, TRUE, FALSE))</f>
        <v/>
      </c>
      <c r="D208" s="5">
        <f>IF(A208="","", IF(C208, INDEX(Input!$C$11:$C$17, B208), 0))</f>
        <v/>
      </c>
      <c r="E208" s="5">
        <f>IF(A208="","", IF(C208, INDEX(Input!$D$11:$D$17, B208), 0))</f>
        <v/>
      </c>
      <c r="F208" s="4">
        <f>IF(A208="","", A208 - (B208-1))</f>
        <v/>
      </c>
      <c r="G208" s="4">
        <f>IF(A208="","", B208=7)</f>
        <v/>
      </c>
    </row>
    <row r="209">
      <c r="A209" s="4" t="n"/>
      <c r="B209" s="4">
        <f>IF(A209="","",WEEKDAY(A209,2))</f>
        <v/>
      </c>
      <c r="C209" s="4">
        <f>IF(A209="","",IF(INDEX(Input!$B$11:$B$17, B209)=1, TRUE, FALSE))</f>
        <v/>
      </c>
      <c r="D209" s="5">
        <f>IF(A209="","", IF(C209, INDEX(Input!$C$11:$C$17, B209), 0))</f>
        <v/>
      </c>
      <c r="E209" s="5">
        <f>IF(A209="","", IF(C209, INDEX(Input!$D$11:$D$17, B209), 0))</f>
        <v/>
      </c>
      <c r="F209" s="4">
        <f>IF(A209="","", A209 - (B209-1))</f>
        <v/>
      </c>
      <c r="G209" s="4">
        <f>IF(A209="","", B209=7)</f>
        <v/>
      </c>
    </row>
    <row r="210">
      <c r="A210" s="4" t="n"/>
      <c r="B210" s="4">
        <f>IF(A210="","",WEEKDAY(A210,2))</f>
        <v/>
      </c>
      <c r="C210" s="4">
        <f>IF(A210="","",IF(INDEX(Input!$B$11:$B$17, B210)=1, TRUE, FALSE))</f>
        <v/>
      </c>
      <c r="D210" s="5">
        <f>IF(A210="","", IF(C210, INDEX(Input!$C$11:$C$17, B210), 0))</f>
        <v/>
      </c>
      <c r="E210" s="5">
        <f>IF(A210="","", IF(C210, INDEX(Input!$D$11:$D$17, B210), 0))</f>
        <v/>
      </c>
      <c r="F210" s="4">
        <f>IF(A210="","", A210 - (B210-1))</f>
        <v/>
      </c>
      <c r="G210" s="4">
        <f>IF(A210="","", B210=7)</f>
        <v/>
      </c>
    </row>
    <row r="211">
      <c r="A211" s="4" t="n"/>
      <c r="B211" s="4">
        <f>IF(A211="","",WEEKDAY(A211,2))</f>
        <v/>
      </c>
      <c r="C211" s="4">
        <f>IF(A211="","",IF(INDEX(Input!$B$11:$B$17, B211)=1, TRUE, FALSE))</f>
        <v/>
      </c>
      <c r="D211" s="5">
        <f>IF(A211="","", IF(C211, INDEX(Input!$C$11:$C$17, B211), 0))</f>
        <v/>
      </c>
      <c r="E211" s="5">
        <f>IF(A211="","", IF(C211, INDEX(Input!$D$11:$D$17, B211), 0))</f>
        <v/>
      </c>
      <c r="F211" s="4">
        <f>IF(A211="","", A211 - (B211-1))</f>
        <v/>
      </c>
      <c r="G211" s="4">
        <f>IF(A211="","", B211=7)</f>
        <v/>
      </c>
    </row>
    <row r="212">
      <c r="A212" s="4" t="n"/>
      <c r="B212" s="4">
        <f>IF(A212="","",WEEKDAY(A212,2))</f>
        <v/>
      </c>
      <c r="C212" s="4">
        <f>IF(A212="","",IF(INDEX(Input!$B$11:$B$17, B212)=1, TRUE, FALSE))</f>
        <v/>
      </c>
      <c r="D212" s="5">
        <f>IF(A212="","", IF(C212, INDEX(Input!$C$11:$C$17, B212), 0))</f>
        <v/>
      </c>
      <c r="E212" s="5">
        <f>IF(A212="","", IF(C212, INDEX(Input!$D$11:$D$17, B212), 0))</f>
        <v/>
      </c>
      <c r="F212" s="4">
        <f>IF(A212="","", A212 - (B212-1))</f>
        <v/>
      </c>
      <c r="G212" s="4">
        <f>IF(A212="","", B212=7)</f>
        <v/>
      </c>
    </row>
    <row r="213">
      <c r="A213" s="4" t="n"/>
      <c r="B213" s="4">
        <f>IF(A213="","",WEEKDAY(A213,2))</f>
        <v/>
      </c>
      <c r="C213" s="4">
        <f>IF(A213="","",IF(INDEX(Input!$B$11:$B$17, B213)=1, TRUE, FALSE))</f>
        <v/>
      </c>
      <c r="D213" s="5">
        <f>IF(A213="","", IF(C213, INDEX(Input!$C$11:$C$17, B213), 0))</f>
        <v/>
      </c>
      <c r="E213" s="5">
        <f>IF(A213="","", IF(C213, INDEX(Input!$D$11:$D$17, B213), 0))</f>
        <v/>
      </c>
      <c r="F213" s="4">
        <f>IF(A213="","", A213 - (B213-1))</f>
        <v/>
      </c>
      <c r="G213" s="4">
        <f>IF(A213="","", B213=7)</f>
        <v/>
      </c>
    </row>
    <row r="214">
      <c r="A214" s="4" t="n"/>
      <c r="B214" s="4">
        <f>IF(A214="","",WEEKDAY(A214,2))</f>
        <v/>
      </c>
      <c r="C214" s="4">
        <f>IF(A214="","",IF(INDEX(Input!$B$11:$B$17, B214)=1, TRUE, FALSE))</f>
        <v/>
      </c>
      <c r="D214" s="5">
        <f>IF(A214="","", IF(C214, INDEX(Input!$C$11:$C$17, B214), 0))</f>
        <v/>
      </c>
      <c r="E214" s="5">
        <f>IF(A214="","", IF(C214, INDEX(Input!$D$11:$D$17, B214), 0))</f>
        <v/>
      </c>
      <c r="F214" s="4">
        <f>IF(A214="","", A214 - (B214-1))</f>
        <v/>
      </c>
      <c r="G214" s="4">
        <f>IF(A214="","", B214=7)</f>
        <v/>
      </c>
    </row>
    <row r="215">
      <c r="A215" s="4" t="n"/>
      <c r="B215" s="4">
        <f>IF(A215="","",WEEKDAY(A215,2))</f>
        <v/>
      </c>
      <c r="C215" s="4">
        <f>IF(A215="","",IF(INDEX(Input!$B$11:$B$17, B215)=1, TRUE, FALSE))</f>
        <v/>
      </c>
      <c r="D215" s="5">
        <f>IF(A215="","", IF(C215, INDEX(Input!$C$11:$C$17, B215), 0))</f>
        <v/>
      </c>
      <c r="E215" s="5">
        <f>IF(A215="","", IF(C215, INDEX(Input!$D$11:$D$17, B215), 0))</f>
        <v/>
      </c>
      <c r="F215" s="4">
        <f>IF(A215="","", A215 - (B215-1))</f>
        <v/>
      </c>
      <c r="G215" s="4">
        <f>IF(A215="","", B215=7)</f>
        <v/>
      </c>
    </row>
    <row r="216">
      <c r="A216" s="4" t="n"/>
      <c r="B216" s="4">
        <f>IF(A216="","",WEEKDAY(A216,2))</f>
        <v/>
      </c>
      <c r="C216" s="4">
        <f>IF(A216="","",IF(INDEX(Input!$B$11:$B$17, B216)=1, TRUE, FALSE))</f>
        <v/>
      </c>
      <c r="D216" s="5">
        <f>IF(A216="","", IF(C216, INDEX(Input!$C$11:$C$17, B216), 0))</f>
        <v/>
      </c>
      <c r="E216" s="5">
        <f>IF(A216="","", IF(C216, INDEX(Input!$D$11:$D$17, B216), 0))</f>
        <v/>
      </c>
      <c r="F216" s="4">
        <f>IF(A216="","", A216 - (B216-1))</f>
        <v/>
      </c>
      <c r="G216" s="4">
        <f>IF(A216="","", B216=7)</f>
        <v/>
      </c>
    </row>
    <row r="217">
      <c r="A217" s="4" t="n"/>
      <c r="B217" s="4">
        <f>IF(A217="","",WEEKDAY(A217,2))</f>
        <v/>
      </c>
      <c r="C217" s="4">
        <f>IF(A217="","",IF(INDEX(Input!$B$11:$B$17, B217)=1, TRUE, FALSE))</f>
        <v/>
      </c>
      <c r="D217" s="5">
        <f>IF(A217="","", IF(C217, INDEX(Input!$C$11:$C$17, B217), 0))</f>
        <v/>
      </c>
      <c r="E217" s="5">
        <f>IF(A217="","", IF(C217, INDEX(Input!$D$11:$D$17, B217), 0))</f>
        <v/>
      </c>
      <c r="F217" s="4">
        <f>IF(A217="","", A217 - (B217-1))</f>
        <v/>
      </c>
      <c r="G217" s="4">
        <f>IF(A217="","", B217=7)</f>
        <v/>
      </c>
    </row>
    <row r="218">
      <c r="A218" s="4" t="n"/>
      <c r="B218" s="4">
        <f>IF(A218="","",WEEKDAY(A218,2))</f>
        <v/>
      </c>
      <c r="C218" s="4">
        <f>IF(A218="","",IF(INDEX(Input!$B$11:$B$17, B218)=1, TRUE, FALSE))</f>
        <v/>
      </c>
      <c r="D218" s="5">
        <f>IF(A218="","", IF(C218, INDEX(Input!$C$11:$C$17, B218), 0))</f>
        <v/>
      </c>
      <c r="E218" s="5">
        <f>IF(A218="","", IF(C218, INDEX(Input!$D$11:$D$17, B218), 0))</f>
        <v/>
      </c>
      <c r="F218" s="4">
        <f>IF(A218="","", A218 - (B218-1))</f>
        <v/>
      </c>
      <c r="G218" s="4">
        <f>IF(A218="","", B218=7)</f>
        <v/>
      </c>
    </row>
    <row r="219">
      <c r="A219" s="4" t="n"/>
      <c r="B219" s="4">
        <f>IF(A219="","",WEEKDAY(A219,2))</f>
        <v/>
      </c>
      <c r="C219" s="4">
        <f>IF(A219="","",IF(INDEX(Input!$B$11:$B$17, B219)=1, TRUE, FALSE))</f>
        <v/>
      </c>
      <c r="D219" s="5">
        <f>IF(A219="","", IF(C219, INDEX(Input!$C$11:$C$17, B219), 0))</f>
        <v/>
      </c>
      <c r="E219" s="5">
        <f>IF(A219="","", IF(C219, INDEX(Input!$D$11:$D$17, B219), 0))</f>
        <v/>
      </c>
      <c r="F219" s="4">
        <f>IF(A219="","", A219 - (B219-1))</f>
        <v/>
      </c>
      <c r="G219" s="4">
        <f>IF(A219="","", B219=7)</f>
        <v/>
      </c>
    </row>
    <row r="220">
      <c r="A220" s="4" t="n"/>
      <c r="B220" s="4">
        <f>IF(A220="","",WEEKDAY(A220,2))</f>
        <v/>
      </c>
      <c r="C220" s="4">
        <f>IF(A220="","",IF(INDEX(Input!$B$11:$B$17, B220)=1, TRUE, FALSE))</f>
        <v/>
      </c>
      <c r="D220" s="5">
        <f>IF(A220="","", IF(C220, INDEX(Input!$C$11:$C$17, B220), 0))</f>
        <v/>
      </c>
      <c r="E220" s="5">
        <f>IF(A220="","", IF(C220, INDEX(Input!$D$11:$D$17, B220), 0))</f>
        <v/>
      </c>
      <c r="F220" s="4">
        <f>IF(A220="","", A220 - (B220-1))</f>
        <v/>
      </c>
      <c r="G220" s="4">
        <f>IF(A220="","", B220=7)</f>
        <v/>
      </c>
    </row>
    <row r="221">
      <c r="A221" s="4" t="n"/>
      <c r="B221" s="4">
        <f>IF(A221="","",WEEKDAY(A221,2))</f>
        <v/>
      </c>
      <c r="C221" s="4">
        <f>IF(A221="","",IF(INDEX(Input!$B$11:$B$17, B221)=1, TRUE, FALSE))</f>
        <v/>
      </c>
      <c r="D221" s="5">
        <f>IF(A221="","", IF(C221, INDEX(Input!$C$11:$C$17, B221), 0))</f>
        <v/>
      </c>
      <c r="E221" s="5">
        <f>IF(A221="","", IF(C221, INDEX(Input!$D$11:$D$17, B221), 0))</f>
        <v/>
      </c>
      <c r="F221" s="4">
        <f>IF(A221="","", A221 - (B221-1))</f>
        <v/>
      </c>
      <c r="G221" s="4">
        <f>IF(A221="","", B221=7)</f>
        <v/>
      </c>
    </row>
    <row r="222">
      <c r="A222" s="4" t="n"/>
      <c r="B222" s="4">
        <f>IF(A222="","",WEEKDAY(A222,2))</f>
        <v/>
      </c>
      <c r="C222" s="4">
        <f>IF(A222="","",IF(INDEX(Input!$B$11:$B$17, B222)=1, TRUE, FALSE))</f>
        <v/>
      </c>
      <c r="D222" s="5">
        <f>IF(A222="","", IF(C222, INDEX(Input!$C$11:$C$17, B222), 0))</f>
        <v/>
      </c>
      <c r="E222" s="5">
        <f>IF(A222="","", IF(C222, INDEX(Input!$D$11:$D$17, B222), 0))</f>
        <v/>
      </c>
      <c r="F222" s="4">
        <f>IF(A222="","", A222 - (B222-1))</f>
        <v/>
      </c>
      <c r="G222" s="4">
        <f>IF(A222="","", B222=7)</f>
        <v/>
      </c>
    </row>
    <row r="223">
      <c r="A223" s="4" t="n"/>
      <c r="B223" s="4">
        <f>IF(A223="","",WEEKDAY(A223,2))</f>
        <v/>
      </c>
      <c r="C223" s="4">
        <f>IF(A223="","",IF(INDEX(Input!$B$11:$B$17, B223)=1, TRUE, FALSE))</f>
        <v/>
      </c>
      <c r="D223" s="5">
        <f>IF(A223="","", IF(C223, INDEX(Input!$C$11:$C$17, B223), 0))</f>
        <v/>
      </c>
      <c r="E223" s="5">
        <f>IF(A223="","", IF(C223, INDEX(Input!$D$11:$D$17, B223), 0))</f>
        <v/>
      </c>
      <c r="F223" s="4">
        <f>IF(A223="","", A223 - (B223-1))</f>
        <v/>
      </c>
      <c r="G223" s="4">
        <f>IF(A223="","", B223=7)</f>
        <v/>
      </c>
    </row>
    <row r="224">
      <c r="A224" s="4" t="n"/>
      <c r="B224" s="4">
        <f>IF(A224="","",WEEKDAY(A224,2))</f>
        <v/>
      </c>
      <c r="C224" s="4">
        <f>IF(A224="","",IF(INDEX(Input!$B$11:$B$17, B224)=1, TRUE, FALSE))</f>
        <v/>
      </c>
      <c r="D224" s="5">
        <f>IF(A224="","", IF(C224, INDEX(Input!$C$11:$C$17, B224), 0))</f>
        <v/>
      </c>
      <c r="E224" s="5">
        <f>IF(A224="","", IF(C224, INDEX(Input!$D$11:$D$17, B224), 0))</f>
        <v/>
      </c>
      <c r="F224" s="4">
        <f>IF(A224="","", A224 - (B224-1))</f>
        <v/>
      </c>
      <c r="G224" s="4">
        <f>IF(A224="","", B224=7)</f>
        <v/>
      </c>
    </row>
    <row r="225">
      <c r="A225" s="4" t="n"/>
      <c r="B225" s="4">
        <f>IF(A225="","",WEEKDAY(A225,2))</f>
        <v/>
      </c>
      <c r="C225" s="4">
        <f>IF(A225="","",IF(INDEX(Input!$B$11:$B$17, B225)=1, TRUE, FALSE))</f>
        <v/>
      </c>
      <c r="D225" s="5">
        <f>IF(A225="","", IF(C225, INDEX(Input!$C$11:$C$17, B225), 0))</f>
        <v/>
      </c>
      <c r="E225" s="5">
        <f>IF(A225="","", IF(C225, INDEX(Input!$D$11:$D$17, B225), 0))</f>
        <v/>
      </c>
      <c r="F225" s="4">
        <f>IF(A225="","", A225 - (B225-1))</f>
        <v/>
      </c>
      <c r="G225" s="4">
        <f>IF(A225="","", B225=7)</f>
        <v/>
      </c>
    </row>
    <row r="226">
      <c r="A226" s="4" t="n"/>
      <c r="B226" s="4">
        <f>IF(A226="","",WEEKDAY(A226,2))</f>
        <v/>
      </c>
      <c r="C226" s="4">
        <f>IF(A226="","",IF(INDEX(Input!$B$11:$B$17, B226)=1, TRUE, FALSE))</f>
        <v/>
      </c>
      <c r="D226" s="5">
        <f>IF(A226="","", IF(C226, INDEX(Input!$C$11:$C$17, B226), 0))</f>
        <v/>
      </c>
      <c r="E226" s="5">
        <f>IF(A226="","", IF(C226, INDEX(Input!$D$11:$D$17, B226), 0))</f>
        <v/>
      </c>
      <c r="F226" s="4">
        <f>IF(A226="","", A226 - (B226-1))</f>
        <v/>
      </c>
      <c r="G226" s="4">
        <f>IF(A226="","", B226=7)</f>
        <v/>
      </c>
    </row>
    <row r="227">
      <c r="A227" s="4" t="n"/>
      <c r="B227" s="4">
        <f>IF(A227="","",WEEKDAY(A227,2))</f>
        <v/>
      </c>
      <c r="C227" s="4">
        <f>IF(A227="","",IF(INDEX(Input!$B$11:$B$17, B227)=1, TRUE, FALSE))</f>
        <v/>
      </c>
      <c r="D227" s="5">
        <f>IF(A227="","", IF(C227, INDEX(Input!$C$11:$C$17, B227), 0))</f>
        <v/>
      </c>
      <c r="E227" s="5">
        <f>IF(A227="","", IF(C227, INDEX(Input!$D$11:$D$17, B227), 0))</f>
        <v/>
      </c>
      <c r="F227" s="4">
        <f>IF(A227="","", A227 - (B227-1))</f>
        <v/>
      </c>
      <c r="G227" s="4">
        <f>IF(A227="","", B227=7)</f>
        <v/>
      </c>
    </row>
    <row r="228">
      <c r="A228" s="4" t="n"/>
      <c r="B228" s="4">
        <f>IF(A228="","",WEEKDAY(A228,2))</f>
        <v/>
      </c>
      <c r="C228" s="4">
        <f>IF(A228="","",IF(INDEX(Input!$B$11:$B$17, B228)=1, TRUE, FALSE))</f>
        <v/>
      </c>
      <c r="D228" s="5">
        <f>IF(A228="","", IF(C228, INDEX(Input!$C$11:$C$17, B228), 0))</f>
        <v/>
      </c>
      <c r="E228" s="5">
        <f>IF(A228="","", IF(C228, INDEX(Input!$D$11:$D$17, B228), 0))</f>
        <v/>
      </c>
      <c r="F228" s="4">
        <f>IF(A228="","", A228 - (B228-1))</f>
        <v/>
      </c>
      <c r="G228" s="4">
        <f>IF(A228="","", B228=7)</f>
        <v/>
      </c>
    </row>
    <row r="229">
      <c r="A229" s="4" t="n"/>
      <c r="B229" s="4">
        <f>IF(A229="","",WEEKDAY(A229,2))</f>
        <v/>
      </c>
      <c r="C229" s="4">
        <f>IF(A229="","",IF(INDEX(Input!$B$11:$B$17, B229)=1, TRUE, FALSE))</f>
        <v/>
      </c>
      <c r="D229" s="5">
        <f>IF(A229="","", IF(C229, INDEX(Input!$C$11:$C$17, B229), 0))</f>
        <v/>
      </c>
      <c r="E229" s="5">
        <f>IF(A229="","", IF(C229, INDEX(Input!$D$11:$D$17, B229), 0))</f>
        <v/>
      </c>
      <c r="F229" s="4">
        <f>IF(A229="","", A229 - (B229-1))</f>
        <v/>
      </c>
      <c r="G229" s="4">
        <f>IF(A229="","", B229=7)</f>
        <v/>
      </c>
    </row>
    <row r="230">
      <c r="A230" s="4" t="n"/>
      <c r="B230" s="4">
        <f>IF(A230="","",WEEKDAY(A230,2))</f>
        <v/>
      </c>
      <c r="C230" s="4">
        <f>IF(A230="","",IF(INDEX(Input!$B$11:$B$17, B230)=1, TRUE, FALSE))</f>
        <v/>
      </c>
      <c r="D230" s="5">
        <f>IF(A230="","", IF(C230, INDEX(Input!$C$11:$C$17, B230), 0))</f>
        <v/>
      </c>
      <c r="E230" s="5">
        <f>IF(A230="","", IF(C230, INDEX(Input!$D$11:$D$17, B230), 0))</f>
        <v/>
      </c>
      <c r="F230" s="4">
        <f>IF(A230="","", A230 - (B230-1))</f>
        <v/>
      </c>
      <c r="G230" s="4">
        <f>IF(A230="","", B230=7)</f>
        <v/>
      </c>
    </row>
    <row r="231">
      <c r="A231" s="4" t="n"/>
      <c r="B231" s="4">
        <f>IF(A231="","",WEEKDAY(A231,2))</f>
        <v/>
      </c>
      <c r="C231" s="4">
        <f>IF(A231="","",IF(INDEX(Input!$B$11:$B$17, B231)=1, TRUE, FALSE))</f>
        <v/>
      </c>
      <c r="D231" s="5">
        <f>IF(A231="","", IF(C231, INDEX(Input!$C$11:$C$17, B231), 0))</f>
        <v/>
      </c>
      <c r="E231" s="5">
        <f>IF(A231="","", IF(C231, INDEX(Input!$D$11:$D$17, B231), 0))</f>
        <v/>
      </c>
      <c r="F231" s="4">
        <f>IF(A231="","", A231 - (B231-1))</f>
        <v/>
      </c>
      <c r="G231" s="4">
        <f>IF(A231="","", B231=7)</f>
        <v/>
      </c>
    </row>
    <row r="232">
      <c r="A232" s="4" t="n"/>
      <c r="B232" s="4">
        <f>IF(A232="","",WEEKDAY(A232,2))</f>
        <v/>
      </c>
      <c r="C232" s="4">
        <f>IF(A232="","",IF(INDEX(Input!$B$11:$B$17, B232)=1, TRUE, FALSE))</f>
        <v/>
      </c>
      <c r="D232" s="5">
        <f>IF(A232="","", IF(C232, INDEX(Input!$C$11:$C$17, B232), 0))</f>
        <v/>
      </c>
      <c r="E232" s="5">
        <f>IF(A232="","", IF(C232, INDEX(Input!$D$11:$D$17, B232), 0))</f>
        <v/>
      </c>
      <c r="F232" s="4">
        <f>IF(A232="","", A232 - (B232-1))</f>
        <v/>
      </c>
      <c r="G232" s="4">
        <f>IF(A232="","", B232=7)</f>
        <v/>
      </c>
    </row>
    <row r="233">
      <c r="A233" s="4" t="n"/>
      <c r="B233" s="4">
        <f>IF(A233="","",WEEKDAY(A233,2))</f>
        <v/>
      </c>
      <c r="C233" s="4">
        <f>IF(A233="","",IF(INDEX(Input!$B$11:$B$17, B233)=1, TRUE, FALSE))</f>
        <v/>
      </c>
      <c r="D233" s="5">
        <f>IF(A233="","", IF(C233, INDEX(Input!$C$11:$C$17, B233), 0))</f>
        <v/>
      </c>
      <c r="E233" s="5">
        <f>IF(A233="","", IF(C233, INDEX(Input!$D$11:$D$17, B233), 0))</f>
        <v/>
      </c>
      <c r="F233" s="4">
        <f>IF(A233="","", A233 - (B233-1))</f>
        <v/>
      </c>
      <c r="G233" s="4">
        <f>IF(A233="","", B233=7)</f>
        <v/>
      </c>
    </row>
    <row r="234">
      <c r="A234" s="4" t="n"/>
      <c r="B234" s="4">
        <f>IF(A234="","",WEEKDAY(A234,2))</f>
        <v/>
      </c>
      <c r="C234" s="4">
        <f>IF(A234="","",IF(INDEX(Input!$B$11:$B$17, B234)=1, TRUE, FALSE))</f>
        <v/>
      </c>
      <c r="D234" s="5">
        <f>IF(A234="","", IF(C234, INDEX(Input!$C$11:$C$17, B234), 0))</f>
        <v/>
      </c>
      <c r="E234" s="5">
        <f>IF(A234="","", IF(C234, INDEX(Input!$D$11:$D$17, B234), 0))</f>
        <v/>
      </c>
      <c r="F234" s="4">
        <f>IF(A234="","", A234 - (B234-1))</f>
        <v/>
      </c>
      <c r="G234" s="4">
        <f>IF(A234="","", B234=7)</f>
        <v/>
      </c>
    </row>
    <row r="235">
      <c r="A235" s="4" t="n"/>
      <c r="B235" s="4">
        <f>IF(A235="","",WEEKDAY(A235,2))</f>
        <v/>
      </c>
      <c r="C235" s="4">
        <f>IF(A235="","",IF(INDEX(Input!$B$11:$B$17, B235)=1, TRUE, FALSE))</f>
        <v/>
      </c>
      <c r="D235" s="5">
        <f>IF(A235="","", IF(C235, INDEX(Input!$C$11:$C$17, B235), 0))</f>
        <v/>
      </c>
      <c r="E235" s="5">
        <f>IF(A235="","", IF(C235, INDEX(Input!$D$11:$D$17, B235), 0))</f>
        <v/>
      </c>
      <c r="F235" s="4">
        <f>IF(A235="","", A235 - (B235-1))</f>
        <v/>
      </c>
      <c r="G235" s="4">
        <f>IF(A235="","", B235=7)</f>
        <v/>
      </c>
    </row>
    <row r="236">
      <c r="A236" s="4" t="n"/>
      <c r="B236" s="4">
        <f>IF(A236="","",WEEKDAY(A236,2))</f>
        <v/>
      </c>
      <c r="C236" s="4">
        <f>IF(A236="","",IF(INDEX(Input!$B$11:$B$17, B236)=1, TRUE, FALSE))</f>
        <v/>
      </c>
      <c r="D236" s="5">
        <f>IF(A236="","", IF(C236, INDEX(Input!$C$11:$C$17, B236), 0))</f>
        <v/>
      </c>
      <c r="E236" s="5">
        <f>IF(A236="","", IF(C236, INDEX(Input!$D$11:$D$17, B236), 0))</f>
        <v/>
      </c>
      <c r="F236" s="4">
        <f>IF(A236="","", A236 - (B236-1))</f>
        <v/>
      </c>
      <c r="G236" s="4">
        <f>IF(A236="","", B236=7)</f>
        <v/>
      </c>
    </row>
    <row r="237">
      <c r="A237" s="4" t="n"/>
      <c r="B237" s="4">
        <f>IF(A237="","",WEEKDAY(A237,2))</f>
        <v/>
      </c>
      <c r="C237" s="4">
        <f>IF(A237="","",IF(INDEX(Input!$B$11:$B$17, B237)=1, TRUE, FALSE))</f>
        <v/>
      </c>
      <c r="D237" s="5">
        <f>IF(A237="","", IF(C237, INDEX(Input!$C$11:$C$17, B237), 0))</f>
        <v/>
      </c>
      <c r="E237" s="5">
        <f>IF(A237="","", IF(C237, INDEX(Input!$D$11:$D$17, B237), 0))</f>
        <v/>
      </c>
      <c r="F237" s="4">
        <f>IF(A237="","", A237 - (B237-1))</f>
        <v/>
      </c>
      <c r="G237" s="4">
        <f>IF(A237="","", B237=7)</f>
        <v/>
      </c>
    </row>
    <row r="238">
      <c r="A238" s="4" t="n"/>
      <c r="B238" s="4">
        <f>IF(A238="","",WEEKDAY(A238,2))</f>
        <v/>
      </c>
      <c r="C238" s="4">
        <f>IF(A238="","",IF(INDEX(Input!$B$11:$B$17, B238)=1, TRUE, FALSE))</f>
        <v/>
      </c>
      <c r="D238" s="5">
        <f>IF(A238="","", IF(C238, INDEX(Input!$C$11:$C$17, B238), 0))</f>
        <v/>
      </c>
      <c r="E238" s="5">
        <f>IF(A238="","", IF(C238, INDEX(Input!$D$11:$D$17, B238), 0))</f>
        <v/>
      </c>
      <c r="F238" s="4">
        <f>IF(A238="","", A238 - (B238-1))</f>
        <v/>
      </c>
      <c r="G238" s="4">
        <f>IF(A238="","", B238=7)</f>
        <v/>
      </c>
    </row>
    <row r="239">
      <c r="A239" s="4" t="n"/>
      <c r="B239" s="4">
        <f>IF(A239="","",WEEKDAY(A239,2))</f>
        <v/>
      </c>
      <c r="C239" s="4">
        <f>IF(A239="","",IF(INDEX(Input!$B$11:$B$17, B239)=1, TRUE, FALSE))</f>
        <v/>
      </c>
      <c r="D239" s="5">
        <f>IF(A239="","", IF(C239, INDEX(Input!$C$11:$C$17, B239), 0))</f>
        <v/>
      </c>
      <c r="E239" s="5">
        <f>IF(A239="","", IF(C239, INDEX(Input!$D$11:$D$17, B239), 0))</f>
        <v/>
      </c>
      <c r="F239" s="4">
        <f>IF(A239="","", A239 - (B239-1))</f>
        <v/>
      </c>
      <c r="G239" s="4">
        <f>IF(A239="","", B239=7)</f>
        <v/>
      </c>
    </row>
    <row r="240">
      <c r="A240" s="4" t="n"/>
      <c r="B240" s="4">
        <f>IF(A240="","",WEEKDAY(A240,2))</f>
        <v/>
      </c>
      <c r="C240" s="4">
        <f>IF(A240="","",IF(INDEX(Input!$B$11:$B$17, B240)=1, TRUE, FALSE))</f>
        <v/>
      </c>
      <c r="D240" s="5">
        <f>IF(A240="","", IF(C240, INDEX(Input!$C$11:$C$17, B240), 0))</f>
        <v/>
      </c>
      <c r="E240" s="5">
        <f>IF(A240="","", IF(C240, INDEX(Input!$D$11:$D$17, B240), 0))</f>
        <v/>
      </c>
      <c r="F240" s="4">
        <f>IF(A240="","", A240 - (B240-1))</f>
        <v/>
      </c>
      <c r="G240" s="4">
        <f>IF(A240="","", B240=7)</f>
        <v/>
      </c>
    </row>
    <row r="241">
      <c r="A241" s="4" t="n"/>
      <c r="B241" s="4">
        <f>IF(A241="","",WEEKDAY(A241,2))</f>
        <v/>
      </c>
      <c r="C241" s="4">
        <f>IF(A241="","",IF(INDEX(Input!$B$11:$B$17, B241)=1, TRUE, FALSE))</f>
        <v/>
      </c>
      <c r="D241" s="5">
        <f>IF(A241="","", IF(C241, INDEX(Input!$C$11:$C$17, B241), 0))</f>
        <v/>
      </c>
      <c r="E241" s="5">
        <f>IF(A241="","", IF(C241, INDEX(Input!$D$11:$D$17, B241), 0))</f>
        <v/>
      </c>
      <c r="F241" s="4">
        <f>IF(A241="","", A241 - (B241-1))</f>
        <v/>
      </c>
      <c r="G241" s="4">
        <f>IF(A241="","", B241=7)</f>
        <v/>
      </c>
    </row>
    <row r="242">
      <c r="A242" s="4" t="n"/>
      <c r="B242" s="4">
        <f>IF(A242="","",WEEKDAY(A242,2))</f>
        <v/>
      </c>
      <c r="C242" s="4">
        <f>IF(A242="","",IF(INDEX(Input!$B$11:$B$17, B242)=1, TRUE, FALSE))</f>
        <v/>
      </c>
      <c r="D242" s="5">
        <f>IF(A242="","", IF(C242, INDEX(Input!$C$11:$C$17, B242), 0))</f>
        <v/>
      </c>
      <c r="E242" s="5">
        <f>IF(A242="","", IF(C242, INDEX(Input!$D$11:$D$17, B242), 0))</f>
        <v/>
      </c>
      <c r="F242" s="4">
        <f>IF(A242="","", A242 - (B242-1))</f>
        <v/>
      </c>
      <c r="G242" s="4">
        <f>IF(A242="","", B242=7)</f>
        <v/>
      </c>
    </row>
    <row r="243">
      <c r="A243" s="4" t="n"/>
      <c r="B243" s="4">
        <f>IF(A243="","",WEEKDAY(A243,2))</f>
        <v/>
      </c>
      <c r="C243" s="4">
        <f>IF(A243="","",IF(INDEX(Input!$B$11:$B$17, B243)=1, TRUE, FALSE))</f>
        <v/>
      </c>
      <c r="D243" s="5">
        <f>IF(A243="","", IF(C243, INDEX(Input!$C$11:$C$17, B243), 0))</f>
        <v/>
      </c>
      <c r="E243" s="5">
        <f>IF(A243="","", IF(C243, INDEX(Input!$D$11:$D$17, B243), 0))</f>
        <v/>
      </c>
      <c r="F243" s="4">
        <f>IF(A243="","", A243 - (B243-1))</f>
        <v/>
      </c>
      <c r="G243" s="4">
        <f>IF(A243="","", B243=7)</f>
        <v/>
      </c>
    </row>
    <row r="244">
      <c r="A244" s="4" t="n"/>
      <c r="B244" s="4">
        <f>IF(A244="","",WEEKDAY(A244,2))</f>
        <v/>
      </c>
      <c r="C244" s="4">
        <f>IF(A244="","",IF(INDEX(Input!$B$11:$B$17, B244)=1, TRUE, FALSE))</f>
        <v/>
      </c>
      <c r="D244" s="5">
        <f>IF(A244="","", IF(C244, INDEX(Input!$C$11:$C$17, B244), 0))</f>
        <v/>
      </c>
      <c r="E244" s="5">
        <f>IF(A244="","", IF(C244, INDEX(Input!$D$11:$D$17, B244), 0))</f>
        <v/>
      </c>
      <c r="F244" s="4">
        <f>IF(A244="","", A244 - (B244-1))</f>
        <v/>
      </c>
      <c r="G244" s="4">
        <f>IF(A244="","", B244=7)</f>
        <v/>
      </c>
    </row>
    <row r="245">
      <c r="A245" s="4" t="n"/>
      <c r="B245" s="4">
        <f>IF(A245="","",WEEKDAY(A245,2))</f>
        <v/>
      </c>
      <c r="C245" s="4">
        <f>IF(A245="","",IF(INDEX(Input!$B$11:$B$17, B245)=1, TRUE, FALSE))</f>
        <v/>
      </c>
      <c r="D245" s="5">
        <f>IF(A245="","", IF(C245, INDEX(Input!$C$11:$C$17, B245), 0))</f>
        <v/>
      </c>
      <c r="E245" s="5">
        <f>IF(A245="","", IF(C245, INDEX(Input!$D$11:$D$17, B245), 0))</f>
        <v/>
      </c>
      <c r="F245" s="4">
        <f>IF(A245="","", A245 - (B245-1))</f>
        <v/>
      </c>
      <c r="G245" s="4">
        <f>IF(A245="","", B245=7)</f>
        <v/>
      </c>
    </row>
    <row r="246">
      <c r="A246" s="4" t="n"/>
      <c r="B246" s="4">
        <f>IF(A246="","",WEEKDAY(A246,2))</f>
        <v/>
      </c>
      <c r="C246" s="4">
        <f>IF(A246="","",IF(INDEX(Input!$B$11:$B$17, B246)=1, TRUE, FALSE))</f>
        <v/>
      </c>
      <c r="D246" s="5">
        <f>IF(A246="","", IF(C246, INDEX(Input!$C$11:$C$17, B246), 0))</f>
        <v/>
      </c>
      <c r="E246" s="5">
        <f>IF(A246="","", IF(C246, INDEX(Input!$D$11:$D$17, B246), 0))</f>
        <v/>
      </c>
      <c r="F246" s="4">
        <f>IF(A246="","", A246 - (B246-1))</f>
        <v/>
      </c>
      <c r="G246" s="4">
        <f>IF(A246="","", B246=7)</f>
        <v/>
      </c>
    </row>
    <row r="247">
      <c r="A247" s="4" t="n"/>
      <c r="B247" s="4">
        <f>IF(A247="","",WEEKDAY(A247,2))</f>
        <v/>
      </c>
      <c r="C247" s="4">
        <f>IF(A247="","",IF(INDEX(Input!$B$11:$B$17, B247)=1, TRUE, FALSE))</f>
        <v/>
      </c>
      <c r="D247" s="5">
        <f>IF(A247="","", IF(C247, INDEX(Input!$C$11:$C$17, B247), 0))</f>
        <v/>
      </c>
      <c r="E247" s="5">
        <f>IF(A247="","", IF(C247, INDEX(Input!$D$11:$D$17, B247), 0))</f>
        <v/>
      </c>
      <c r="F247" s="4">
        <f>IF(A247="","", A247 - (B247-1))</f>
        <v/>
      </c>
      <c r="G247" s="4">
        <f>IF(A247="","", B247=7)</f>
        <v/>
      </c>
    </row>
    <row r="248">
      <c r="A248" s="4" t="n"/>
      <c r="B248" s="4">
        <f>IF(A248="","",WEEKDAY(A248,2))</f>
        <v/>
      </c>
      <c r="C248" s="4">
        <f>IF(A248="","",IF(INDEX(Input!$B$11:$B$17, B248)=1, TRUE, FALSE))</f>
        <v/>
      </c>
      <c r="D248" s="5">
        <f>IF(A248="","", IF(C248, INDEX(Input!$C$11:$C$17, B248), 0))</f>
        <v/>
      </c>
      <c r="E248" s="5">
        <f>IF(A248="","", IF(C248, INDEX(Input!$D$11:$D$17, B248), 0))</f>
        <v/>
      </c>
      <c r="F248" s="4">
        <f>IF(A248="","", A248 - (B248-1))</f>
        <v/>
      </c>
      <c r="G248" s="4">
        <f>IF(A248="","", B248=7)</f>
        <v/>
      </c>
    </row>
    <row r="249">
      <c r="A249" s="4" t="n"/>
      <c r="B249" s="4">
        <f>IF(A249="","",WEEKDAY(A249,2))</f>
        <v/>
      </c>
      <c r="C249" s="4">
        <f>IF(A249="","",IF(INDEX(Input!$B$11:$B$17, B249)=1, TRUE, FALSE))</f>
        <v/>
      </c>
      <c r="D249" s="5">
        <f>IF(A249="","", IF(C249, INDEX(Input!$C$11:$C$17, B249), 0))</f>
        <v/>
      </c>
      <c r="E249" s="5">
        <f>IF(A249="","", IF(C249, INDEX(Input!$D$11:$D$17, B249), 0))</f>
        <v/>
      </c>
      <c r="F249" s="4">
        <f>IF(A249="","", A249 - (B249-1))</f>
        <v/>
      </c>
      <c r="G249" s="4">
        <f>IF(A249="","", B249=7)</f>
        <v/>
      </c>
    </row>
    <row r="250">
      <c r="A250" s="4" t="n"/>
      <c r="B250" s="4">
        <f>IF(A250="","",WEEKDAY(A250,2))</f>
        <v/>
      </c>
      <c r="C250" s="4">
        <f>IF(A250="","",IF(INDEX(Input!$B$11:$B$17, B250)=1, TRUE, FALSE))</f>
        <v/>
      </c>
      <c r="D250" s="5">
        <f>IF(A250="","", IF(C250, INDEX(Input!$C$11:$C$17, B250), 0))</f>
        <v/>
      </c>
      <c r="E250" s="5">
        <f>IF(A250="","", IF(C250, INDEX(Input!$D$11:$D$17, B250), 0))</f>
        <v/>
      </c>
      <c r="F250" s="4">
        <f>IF(A250="","", A250 - (B250-1))</f>
        <v/>
      </c>
      <c r="G250" s="4">
        <f>IF(A250="","", B250=7)</f>
        <v/>
      </c>
    </row>
    <row r="251">
      <c r="A251" s="4" t="n"/>
      <c r="B251" s="4">
        <f>IF(A251="","",WEEKDAY(A251,2))</f>
        <v/>
      </c>
      <c r="C251" s="4">
        <f>IF(A251="","",IF(INDEX(Input!$B$11:$B$17, B251)=1, TRUE, FALSE))</f>
        <v/>
      </c>
      <c r="D251" s="5">
        <f>IF(A251="","", IF(C251, INDEX(Input!$C$11:$C$17, B251), 0))</f>
        <v/>
      </c>
      <c r="E251" s="5">
        <f>IF(A251="","", IF(C251, INDEX(Input!$D$11:$D$17, B251), 0))</f>
        <v/>
      </c>
      <c r="F251" s="4">
        <f>IF(A251="","", A251 - (B251-1))</f>
        <v/>
      </c>
      <c r="G251" s="4">
        <f>IF(A251="","", B251=7)</f>
        <v/>
      </c>
    </row>
    <row r="252">
      <c r="A252" s="4" t="n"/>
      <c r="B252" s="4">
        <f>IF(A252="","",WEEKDAY(A252,2))</f>
        <v/>
      </c>
      <c r="C252" s="4">
        <f>IF(A252="","",IF(INDEX(Input!$B$11:$B$17, B252)=1, TRUE, FALSE))</f>
        <v/>
      </c>
      <c r="D252" s="5">
        <f>IF(A252="","", IF(C252, INDEX(Input!$C$11:$C$17, B252), 0))</f>
        <v/>
      </c>
      <c r="E252" s="5">
        <f>IF(A252="","", IF(C252, INDEX(Input!$D$11:$D$17, B252), 0))</f>
        <v/>
      </c>
      <c r="F252" s="4">
        <f>IF(A252="","", A252 - (B252-1))</f>
        <v/>
      </c>
      <c r="G252" s="4">
        <f>IF(A252="","", B252=7)</f>
        <v/>
      </c>
    </row>
    <row r="253">
      <c r="A253" s="4" t="n"/>
      <c r="B253" s="4">
        <f>IF(A253="","",WEEKDAY(A253,2))</f>
        <v/>
      </c>
      <c r="C253" s="4">
        <f>IF(A253="","",IF(INDEX(Input!$B$11:$B$17, B253)=1, TRUE, FALSE))</f>
        <v/>
      </c>
      <c r="D253" s="5">
        <f>IF(A253="","", IF(C253, INDEX(Input!$C$11:$C$17, B253), 0))</f>
        <v/>
      </c>
      <c r="E253" s="5">
        <f>IF(A253="","", IF(C253, INDEX(Input!$D$11:$D$17, B253), 0))</f>
        <v/>
      </c>
      <c r="F253" s="4">
        <f>IF(A253="","", A253 - (B253-1))</f>
        <v/>
      </c>
      <c r="G253" s="4">
        <f>IF(A253="","", B253=7)</f>
        <v/>
      </c>
    </row>
    <row r="254">
      <c r="A254" s="4" t="n"/>
      <c r="B254" s="4">
        <f>IF(A254="","",WEEKDAY(A254,2))</f>
        <v/>
      </c>
      <c r="C254" s="4">
        <f>IF(A254="","",IF(INDEX(Input!$B$11:$B$17, B254)=1, TRUE, FALSE))</f>
        <v/>
      </c>
      <c r="D254" s="5">
        <f>IF(A254="","", IF(C254, INDEX(Input!$C$11:$C$17, B254), 0))</f>
        <v/>
      </c>
      <c r="E254" s="5">
        <f>IF(A254="","", IF(C254, INDEX(Input!$D$11:$D$17, B254), 0))</f>
        <v/>
      </c>
      <c r="F254" s="4">
        <f>IF(A254="","", A254 - (B254-1))</f>
        <v/>
      </c>
      <c r="G254" s="4">
        <f>IF(A254="","", B254=7)</f>
        <v/>
      </c>
    </row>
    <row r="255">
      <c r="A255" s="4" t="n"/>
      <c r="B255" s="4">
        <f>IF(A255="","",WEEKDAY(A255,2))</f>
        <v/>
      </c>
      <c r="C255" s="4">
        <f>IF(A255="","",IF(INDEX(Input!$B$11:$B$17, B255)=1, TRUE, FALSE))</f>
        <v/>
      </c>
      <c r="D255" s="5">
        <f>IF(A255="","", IF(C255, INDEX(Input!$C$11:$C$17, B255), 0))</f>
        <v/>
      </c>
      <c r="E255" s="5">
        <f>IF(A255="","", IF(C255, INDEX(Input!$D$11:$D$17, B255), 0))</f>
        <v/>
      </c>
      <c r="F255" s="4">
        <f>IF(A255="","", A255 - (B255-1))</f>
        <v/>
      </c>
      <c r="G255" s="4">
        <f>IF(A255="","", B255=7)</f>
        <v/>
      </c>
    </row>
    <row r="256">
      <c r="A256" s="4" t="n"/>
      <c r="B256" s="4">
        <f>IF(A256="","",WEEKDAY(A256,2))</f>
        <v/>
      </c>
      <c r="C256" s="4">
        <f>IF(A256="","",IF(INDEX(Input!$B$11:$B$17, B256)=1, TRUE, FALSE))</f>
        <v/>
      </c>
      <c r="D256" s="5">
        <f>IF(A256="","", IF(C256, INDEX(Input!$C$11:$C$17, B256), 0))</f>
        <v/>
      </c>
      <c r="E256" s="5">
        <f>IF(A256="","", IF(C256, INDEX(Input!$D$11:$D$17, B256), 0))</f>
        <v/>
      </c>
      <c r="F256" s="4">
        <f>IF(A256="","", A256 - (B256-1))</f>
        <v/>
      </c>
      <c r="G256" s="4">
        <f>IF(A256="","", B256=7)</f>
        <v/>
      </c>
    </row>
    <row r="257">
      <c r="A257" s="4" t="n"/>
      <c r="B257" s="4">
        <f>IF(A257="","",WEEKDAY(A257,2))</f>
        <v/>
      </c>
      <c r="C257" s="4">
        <f>IF(A257="","",IF(INDEX(Input!$B$11:$B$17, B257)=1, TRUE, FALSE))</f>
        <v/>
      </c>
      <c r="D257" s="5">
        <f>IF(A257="","", IF(C257, INDEX(Input!$C$11:$C$17, B257), 0))</f>
        <v/>
      </c>
      <c r="E257" s="5">
        <f>IF(A257="","", IF(C257, INDEX(Input!$D$11:$D$17, B257), 0))</f>
        <v/>
      </c>
      <c r="F257" s="4">
        <f>IF(A257="","", A257 - (B257-1))</f>
        <v/>
      </c>
      <c r="G257" s="4">
        <f>IF(A257="","", B257=7)</f>
        <v/>
      </c>
    </row>
    <row r="258">
      <c r="A258" s="4" t="n"/>
      <c r="B258" s="4">
        <f>IF(A258="","",WEEKDAY(A258,2))</f>
        <v/>
      </c>
      <c r="C258" s="4">
        <f>IF(A258="","",IF(INDEX(Input!$B$11:$B$17, B258)=1, TRUE, FALSE))</f>
        <v/>
      </c>
      <c r="D258" s="5">
        <f>IF(A258="","", IF(C258, INDEX(Input!$C$11:$C$17, B258), 0))</f>
        <v/>
      </c>
      <c r="E258" s="5">
        <f>IF(A258="","", IF(C258, INDEX(Input!$D$11:$D$17, B258), 0))</f>
        <v/>
      </c>
      <c r="F258" s="4">
        <f>IF(A258="","", A258 - (B258-1))</f>
        <v/>
      </c>
      <c r="G258" s="4">
        <f>IF(A258="","", B258=7)</f>
        <v/>
      </c>
    </row>
    <row r="259">
      <c r="A259" s="4" t="n"/>
      <c r="B259" s="4">
        <f>IF(A259="","",WEEKDAY(A259,2))</f>
        <v/>
      </c>
      <c r="C259" s="4">
        <f>IF(A259="","",IF(INDEX(Input!$B$11:$B$17, B259)=1, TRUE, FALSE))</f>
        <v/>
      </c>
      <c r="D259" s="5">
        <f>IF(A259="","", IF(C259, INDEX(Input!$C$11:$C$17, B259), 0))</f>
        <v/>
      </c>
      <c r="E259" s="5">
        <f>IF(A259="","", IF(C259, INDEX(Input!$D$11:$D$17, B259), 0))</f>
        <v/>
      </c>
      <c r="F259" s="4">
        <f>IF(A259="","", A259 - (B259-1))</f>
        <v/>
      </c>
      <c r="G259" s="4">
        <f>IF(A259="","", B259=7)</f>
        <v/>
      </c>
    </row>
    <row r="260">
      <c r="A260" s="4" t="n"/>
      <c r="B260" s="4">
        <f>IF(A260="","",WEEKDAY(A260,2))</f>
        <v/>
      </c>
      <c r="C260" s="4">
        <f>IF(A260="","",IF(INDEX(Input!$B$11:$B$17, B260)=1, TRUE, FALSE))</f>
        <v/>
      </c>
      <c r="D260" s="5">
        <f>IF(A260="","", IF(C260, INDEX(Input!$C$11:$C$17, B260), 0))</f>
        <v/>
      </c>
      <c r="E260" s="5">
        <f>IF(A260="","", IF(C260, INDEX(Input!$D$11:$D$17, B260), 0))</f>
        <v/>
      </c>
      <c r="F260" s="4">
        <f>IF(A260="","", A260 - (B260-1))</f>
        <v/>
      </c>
      <c r="G260" s="4">
        <f>IF(A260="","", B260=7)</f>
        <v/>
      </c>
    </row>
    <row r="261">
      <c r="A261" s="4" t="n"/>
      <c r="B261" s="4">
        <f>IF(A261="","",WEEKDAY(A261,2))</f>
        <v/>
      </c>
      <c r="C261" s="4">
        <f>IF(A261="","",IF(INDEX(Input!$B$11:$B$17, B261)=1, TRUE, FALSE))</f>
        <v/>
      </c>
      <c r="D261" s="5">
        <f>IF(A261="","", IF(C261, INDEX(Input!$C$11:$C$17, B261), 0))</f>
        <v/>
      </c>
      <c r="E261" s="5">
        <f>IF(A261="","", IF(C261, INDEX(Input!$D$11:$D$17, B261), 0))</f>
        <v/>
      </c>
      <c r="F261" s="4">
        <f>IF(A261="","", A261 - (B261-1))</f>
        <v/>
      </c>
      <c r="G261" s="4">
        <f>IF(A261="","", B261=7)</f>
        <v/>
      </c>
    </row>
    <row r="262">
      <c r="A262" s="4" t="n"/>
      <c r="B262" s="4">
        <f>IF(A262="","",WEEKDAY(A262,2))</f>
        <v/>
      </c>
      <c r="C262" s="4">
        <f>IF(A262="","",IF(INDEX(Input!$B$11:$B$17, B262)=1, TRUE, FALSE))</f>
        <v/>
      </c>
      <c r="D262" s="5">
        <f>IF(A262="","", IF(C262, INDEX(Input!$C$11:$C$17, B262), 0))</f>
        <v/>
      </c>
      <c r="E262" s="5">
        <f>IF(A262="","", IF(C262, INDEX(Input!$D$11:$D$17, B262), 0))</f>
        <v/>
      </c>
      <c r="F262" s="4">
        <f>IF(A262="","", A262 - (B262-1))</f>
        <v/>
      </c>
      <c r="G262" s="4">
        <f>IF(A262="","", B262=7)</f>
        <v/>
      </c>
    </row>
    <row r="263">
      <c r="A263" s="4" t="n"/>
      <c r="B263" s="4">
        <f>IF(A263="","",WEEKDAY(A263,2))</f>
        <v/>
      </c>
      <c r="C263" s="4">
        <f>IF(A263="","",IF(INDEX(Input!$B$11:$B$17, B263)=1, TRUE, FALSE))</f>
        <v/>
      </c>
      <c r="D263" s="5">
        <f>IF(A263="","", IF(C263, INDEX(Input!$C$11:$C$17, B263), 0))</f>
        <v/>
      </c>
      <c r="E263" s="5">
        <f>IF(A263="","", IF(C263, INDEX(Input!$D$11:$D$17, B263), 0))</f>
        <v/>
      </c>
      <c r="F263" s="4">
        <f>IF(A263="","", A263 - (B263-1))</f>
        <v/>
      </c>
      <c r="G263" s="4">
        <f>IF(A263="","", B263=7)</f>
        <v/>
      </c>
    </row>
    <row r="264">
      <c r="A264" s="4" t="n"/>
      <c r="B264" s="4">
        <f>IF(A264="","",WEEKDAY(A264,2))</f>
        <v/>
      </c>
      <c r="C264" s="4">
        <f>IF(A264="","",IF(INDEX(Input!$B$11:$B$17, B264)=1, TRUE, FALSE))</f>
        <v/>
      </c>
      <c r="D264" s="5">
        <f>IF(A264="","", IF(C264, INDEX(Input!$C$11:$C$17, B264), 0))</f>
        <v/>
      </c>
      <c r="E264" s="5">
        <f>IF(A264="","", IF(C264, INDEX(Input!$D$11:$D$17, B264), 0))</f>
        <v/>
      </c>
      <c r="F264" s="4">
        <f>IF(A264="","", A264 - (B264-1))</f>
        <v/>
      </c>
      <c r="G264" s="4">
        <f>IF(A264="","", B264=7)</f>
        <v/>
      </c>
    </row>
    <row r="265">
      <c r="A265" s="4" t="n"/>
      <c r="B265" s="4">
        <f>IF(A265="","",WEEKDAY(A265,2))</f>
        <v/>
      </c>
      <c r="C265" s="4">
        <f>IF(A265="","",IF(INDEX(Input!$B$11:$B$17, B265)=1, TRUE, FALSE))</f>
        <v/>
      </c>
      <c r="D265" s="5">
        <f>IF(A265="","", IF(C265, INDEX(Input!$C$11:$C$17, B265), 0))</f>
        <v/>
      </c>
      <c r="E265" s="5">
        <f>IF(A265="","", IF(C265, INDEX(Input!$D$11:$D$17, B265), 0))</f>
        <v/>
      </c>
      <c r="F265" s="4">
        <f>IF(A265="","", A265 - (B265-1))</f>
        <v/>
      </c>
      <c r="G265" s="4">
        <f>IF(A265="","", B265=7)</f>
        <v/>
      </c>
    </row>
    <row r="266">
      <c r="A266" s="4" t="n"/>
      <c r="B266" s="4">
        <f>IF(A266="","",WEEKDAY(A266,2))</f>
        <v/>
      </c>
      <c r="C266" s="4">
        <f>IF(A266="","",IF(INDEX(Input!$B$11:$B$17, B266)=1, TRUE, FALSE))</f>
        <v/>
      </c>
      <c r="D266" s="5">
        <f>IF(A266="","", IF(C266, INDEX(Input!$C$11:$C$17, B266), 0))</f>
        <v/>
      </c>
      <c r="E266" s="5">
        <f>IF(A266="","", IF(C266, INDEX(Input!$D$11:$D$17, B266), 0))</f>
        <v/>
      </c>
      <c r="F266" s="4">
        <f>IF(A266="","", A266 - (B266-1))</f>
        <v/>
      </c>
      <c r="G266" s="4">
        <f>IF(A266="","", B266=7)</f>
        <v/>
      </c>
    </row>
    <row r="267">
      <c r="A267" s="4" t="n"/>
      <c r="B267" s="4">
        <f>IF(A267="","",WEEKDAY(A267,2))</f>
        <v/>
      </c>
      <c r="C267" s="4">
        <f>IF(A267="","",IF(INDEX(Input!$B$11:$B$17, B267)=1, TRUE, FALSE))</f>
        <v/>
      </c>
      <c r="D267" s="5">
        <f>IF(A267="","", IF(C267, INDEX(Input!$C$11:$C$17, B267), 0))</f>
        <v/>
      </c>
      <c r="E267" s="5">
        <f>IF(A267="","", IF(C267, INDEX(Input!$D$11:$D$17, B267), 0))</f>
        <v/>
      </c>
      <c r="F267" s="4">
        <f>IF(A267="","", A267 - (B267-1))</f>
        <v/>
      </c>
      <c r="G267" s="4">
        <f>IF(A267="","", B267=7)</f>
        <v/>
      </c>
    </row>
    <row r="268">
      <c r="A268" s="4" t="n"/>
      <c r="B268" s="4">
        <f>IF(A268="","",WEEKDAY(A268,2))</f>
        <v/>
      </c>
      <c r="C268" s="4">
        <f>IF(A268="","",IF(INDEX(Input!$B$11:$B$17, B268)=1, TRUE, FALSE))</f>
        <v/>
      </c>
      <c r="D268" s="5">
        <f>IF(A268="","", IF(C268, INDEX(Input!$C$11:$C$17, B268), 0))</f>
        <v/>
      </c>
      <c r="E268" s="5">
        <f>IF(A268="","", IF(C268, INDEX(Input!$D$11:$D$17, B268), 0))</f>
        <v/>
      </c>
      <c r="F268" s="4">
        <f>IF(A268="","", A268 - (B268-1))</f>
        <v/>
      </c>
      <c r="G268" s="4">
        <f>IF(A268="","", B268=7)</f>
        <v/>
      </c>
    </row>
    <row r="269">
      <c r="A269" s="4" t="n"/>
      <c r="B269" s="4">
        <f>IF(A269="","",WEEKDAY(A269,2))</f>
        <v/>
      </c>
      <c r="C269" s="4">
        <f>IF(A269="","",IF(INDEX(Input!$B$11:$B$17, B269)=1, TRUE, FALSE))</f>
        <v/>
      </c>
      <c r="D269" s="5">
        <f>IF(A269="","", IF(C269, INDEX(Input!$C$11:$C$17, B269), 0))</f>
        <v/>
      </c>
      <c r="E269" s="5">
        <f>IF(A269="","", IF(C269, INDEX(Input!$D$11:$D$17, B269), 0))</f>
        <v/>
      </c>
      <c r="F269" s="4">
        <f>IF(A269="","", A269 - (B269-1))</f>
        <v/>
      </c>
      <c r="G269" s="4">
        <f>IF(A269="","", B269=7)</f>
        <v/>
      </c>
    </row>
    <row r="270">
      <c r="A270" s="4" t="n"/>
      <c r="B270" s="4">
        <f>IF(A270="","",WEEKDAY(A270,2))</f>
        <v/>
      </c>
      <c r="C270" s="4">
        <f>IF(A270="","",IF(INDEX(Input!$B$11:$B$17, B270)=1, TRUE, FALSE))</f>
        <v/>
      </c>
      <c r="D270" s="5">
        <f>IF(A270="","", IF(C270, INDEX(Input!$C$11:$C$17, B270), 0))</f>
        <v/>
      </c>
      <c r="E270" s="5">
        <f>IF(A270="","", IF(C270, INDEX(Input!$D$11:$D$17, B270), 0))</f>
        <v/>
      </c>
      <c r="F270" s="4">
        <f>IF(A270="","", A270 - (B270-1))</f>
        <v/>
      </c>
      <c r="G270" s="4">
        <f>IF(A270="","", B270=7)</f>
        <v/>
      </c>
    </row>
    <row r="271">
      <c r="A271" s="4" t="n"/>
      <c r="B271" s="4">
        <f>IF(A271="","",WEEKDAY(A271,2))</f>
        <v/>
      </c>
      <c r="C271" s="4">
        <f>IF(A271="","",IF(INDEX(Input!$B$11:$B$17, B271)=1, TRUE, FALSE))</f>
        <v/>
      </c>
      <c r="D271" s="5">
        <f>IF(A271="","", IF(C271, INDEX(Input!$C$11:$C$17, B271), 0))</f>
        <v/>
      </c>
      <c r="E271" s="5">
        <f>IF(A271="","", IF(C271, INDEX(Input!$D$11:$D$17, B271), 0))</f>
        <v/>
      </c>
      <c r="F271" s="4">
        <f>IF(A271="","", A271 - (B271-1))</f>
        <v/>
      </c>
      <c r="G271" s="4">
        <f>IF(A271="","", B271=7)</f>
        <v/>
      </c>
    </row>
    <row r="272">
      <c r="A272" s="4" t="n"/>
      <c r="B272" s="4">
        <f>IF(A272="","",WEEKDAY(A272,2))</f>
        <v/>
      </c>
      <c r="C272" s="4">
        <f>IF(A272="","",IF(INDEX(Input!$B$11:$B$17, B272)=1, TRUE, FALSE))</f>
        <v/>
      </c>
      <c r="D272" s="5">
        <f>IF(A272="","", IF(C272, INDEX(Input!$C$11:$C$17, B272), 0))</f>
        <v/>
      </c>
      <c r="E272" s="5">
        <f>IF(A272="","", IF(C272, INDEX(Input!$D$11:$D$17, B272), 0))</f>
        <v/>
      </c>
      <c r="F272" s="4">
        <f>IF(A272="","", A272 - (B272-1))</f>
        <v/>
      </c>
      <c r="G272" s="4">
        <f>IF(A272="","", B272=7)</f>
        <v/>
      </c>
    </row>
    <row r="273">
      <c r="A273" s="4" t="n"/>
      <c r="B273" s="4">
        <f>IF(A273="","",WEEKDAY(A273,2))</f>
        <v/>
      </c>
      <c r="C273" s="4">
        <f>IF(A273="","",IF(INDEX(Input!$B$11:$B$17, B273)=1, TRUE, FALSE))</f>
        <v/>
      </c>
      <c r="D273" s="5">
        <f>IF(A273="","", IF(C273, INDEX(Input!$C$11:$C$17, B273), 0))</f>
        <v/>
      </c>
      <c r="E273" s="5">
        <f>IF(A273="","", IF(C273, INDEX(Input!$D$11:$D$17, B273), 0))</f>
        <v/>
      </c>
      <c r="F273" s="4">
        <f>IF(A273="","", A273 - (B273-1))</f>
        <v/>
      </c>
      <c r="G273" s="4">
        <f>IF(A273="","", B273=7)</f>
        <v/>
      </c>
    </row>
    <row r="274">
      <c r="A274" s="4" t="n"/>
      <c r="B274" s="4">
        <f>IF(A274="","",WEEKDAY(A274,2))</f>
        <v/>
      </c>
      <c r="C274" s="4">
        <f>IF(A274="","",IF(INDEX(Input!$B$11:$B$17, B274)=1, TRUE, FALSE))</f>
        <v/>
      </c>
      <c r="D274" s="5">
        <f>IF(A274="","", IF(C274, INDEX(Input!$C$11:$C$17, B274), 0))</f>
        <v/>
      </c>
      <c r="E274" s="5">
        <f>IF(A274="","", IF(C274, INDEX(Input!$D$11:$D$17, B274), 0))</f>
        <v/>
      </c>
      <c r="F274" s="4">
        <f>IF(A274="","", A274 - (B274-1))</f>
        <v/>
      </c>
      <c r="G274" s="4">
        <f>IF(A274="","", B274=7)</f>
        <v/>
      </c>
    </row>
    <row r="275">
      <c r="A275" s="4" t="n"/>
      <c r="B275" s="4">
        <f>IF(A275="","",WEEKDAY(A275,2))</f>
        <v/>
      </c>
      <c r="C275" s="4">
        <f>IF(A275="","",IF(INDEX(Input!$B$11:$B$17, B275)=1, TRUE, FALSE))</f>
        <v/>
      </c>
      <c r="D275" s="5">
        <f>IF(A275="","", IF(C275, INDEX(Input!$C$11:$C$17, B275), 0))</f>
        <v/>
      </c>
      <c r="E275" s="5">
        <f>IF(A275="","", IF(C275, INDEX(Input!$D$11:$D$17, B275), 0))</f>
        <v/>
      </c>
      <c r="F275" s="4">
        <f>IF(A275="","", A275 - (B275-1))</f>
        <v/>
      </c>
      <c r="G275" s="4">
        <f>IF(A275="","", B275=7)</f>
        <v/>
      </c>
    </row>
    <row r="276">
      <c r="A276" s="4" t="n"/>
      <c r="B276" s="4">
        <f>IF(A276="","",WEEKDAY(A276,2))</f>
        <v/>
      </c>
      <c r="C276" s="4">
        <f>IF(A276="","",IF(INDEX(Input!$B$11:$B$17, B276)=1, TRUE, FALSE))</f>
        <v/>
      </c>
      <c r="D276" s="5">
        <f>IF(A276="","", IF(C276, INDEX(Input!$C$11:$C$17, B276), 0))</f>
        <v/>
      </c>
      <c r="E276" s="5">
        <f>IF(A276="","", IF(C276, INDEX(Input!$D$11:$D$17, B276), 0))</f>
        <v/>
      </c>
      <c r="F276" s="4">
        <f>IF(A276="","", A276 - (B276-1))</f>
        <v/>
      </c>
      <c r="G276" s="4">
        <f>IF(A276="","", B276=7)</f>
        <v/>
      </c>
    </row>
    <row r="277">
      <c r="A277" s="4" t="n"/>
      <c r="B277" s="4">
        <f>IF(A277="","",WEEKDAY(A277,2))</f>
        <v/>
      </c>
      <c r="C277" s="4">
        <f>IF(A277="","",IF(INDEX(Input!$B$11:$B$17, B277)=1, TRUE, FALSE))</f>
        <v/>
      </c>
      <c r="D277" s="5">
        <f>IF(A277="","", IF(C277, INDEX(Input!$C$11:$C$17, B277), 0))</f>
        <v/>
      </c>
      <c r="E277" s="5">
        <f>IF(A277="","", IF(C277, INDEX(Input!$D$11:$D$17, B277), 0))</f>
        <v/>
      </c>
      <c r="F277" s="4">
        <f>IF(A277="","", A277 - (B277-1))</f>
        <v/>
      </c>
      <c r="G277" s="4">
        <f>IF(A277="","", B277=7)</f>
        <v/>
      </c>
    </row>
    <row r="278">
      <c r="A278" s="4" t="n"/>
      <c r="B278" s="4">
        <f>IF(A278="","",WEEKDAY(A278,2))</f>
        <v/>
      </c>
      <c r="C278" s="4">
        <f>IF(A278="","",IF(INDEX(Input!$B$11:$B$17, B278)=1, TRUE, FALSE))</f>
        <v/>
      </c>
      <c r="D278" s="5">
        <f>IF(A278="","", IF(C278, INDEX(Input!$C$11:$C$17, B278), 0))</f>
        <v/>
      </c>
      <c r="E278" s="5">
        <f>IF(A278="","", IF(C278, INDEX(Input!$D$11:$D$17, B278), 0))</f>
        <v/>
      </c>
      <c r="F278" s="4">
        <f>IF(A278="","", A278 - (B278-1))</f>
        <v/>
      </c>
      <c r="G278" s="4">
        <f>IF(A278="","", B278=7)</f>
        <v/>
      </c>
    </row>
    <row r="279">
      <c r="A279" s="4" t="n"/>
      <c r="B279" s="4">
        <f>IF(A279="","",WEEKDAY(A279,2))</f>
        <v/>
      </c>
      <c r="C279" s="4">
        <f>IF(A279="","",IF(INDEX(Input!$B$11:$B$17, B279)=1, TRUE, FALSE))</f>
        <v/>
      </c>
      <c r="D279" s="5">
        <f>IF(A279="","", IF(C279, INDEX(Input!$C$11:$C$17, B279), 0))</f>
        <v/>
      </c>
      <c r="E279" s="5">
        <f>IF(A279="","", IF(C279, INDEX(Input!$D$11:$D$17, B279), 0))</f>
        <v/>
      </c>
      <c r="F279" s="4">
        <f>IF(A279="","", A279 - (B279-1))</f>
        <v/>
      </c>
      <c r="G279" s="4">
        <f>IF(A279="","", B279=7)</f>
        <v/>
      </c>
    </row>
    <row r="280">
      <c r="A280" s="4" t="n"/>
      <c r="B280" s="4">
        <f>IF(A280="","",WEEKDAY(A280,2))</f>
        <v/>
      </c>
      <c r="C280" s="4">
        <f>IF(A280="","",IF(INDEX(Input!$B$11:$B$17, B280)=1, TRUE, FALSE))</f>
        <v/>
      </c>
      <c r="D280" s="5">
        <f>IF(A280="","", IF(C280, INDEX(Input!$C$11:$C$17, B280), 0))</f>
        <v/>
      </c>
      <c r="E280" s="5">
        <f>IF(A280="","", IF(C280, INDEX(Input!$D$11:$D$17, B280), 0))</f>
        <v/>
      </c>
      <c r="F280" s="4">
        <f>IF(A280="","", A280 - (B280-1))</f>
        <v/>
      </c>
      <c r="G280" s="4">
        <f>IF(A280="","", B280=7)</f>
        <v/>
      </c>
    </row>
    <row r="281">
      <c r="A281" s="4" t="n"/>
      <c r="B281" s="4">
        <f>IF(A281="","",WEEKDAY(A281,2))</f>
        <v/>
      </c>
      <c r="C281" s="4">
        <f>IF(A281="","",IF(INDEX(Input!$B$11:$B$17, B281)=1, TRUE, FALSE))</f>
        <v/>
      </c>
      <c r="D281" s="5">
        <f>IF(A281="","", IF(C281, INDEX(Input!$C$11:$C$17, B281), 0))</f>
        <v/>
      </c>
      <c r="E281" s="5">
        <f>IF(A281="","", IF(C281, INDEX(Input!$D$11:$D$17, B281), 0))</f>
        <v/>
      </c>
      <c r="F281" s="4">
        <f>IF(A281="","", A281 - (B281-1))</f>
        <v/>
      </c>
      <c r="G281" s="4">
        <f>IF(A281="","", B281=7)</f>
        <v/>
      </c>
    </row>
    <row r="282">
      <c r="A282" s="4" t="n"/>
      <c r="B282" s="4">
        <f>IF(A282="","",WEEKDAY(A282,2))</f>
        <v/>
      </c>
      <c r="C282" s="4">
        <f>IF(A282="","",IF(INDEX(Input!$B$11:$B$17, B282)=1, TRUE, FALSE))</f>
        <v/>
      </c>
      <c r="D282" s="5">
        <f>IF(A282="","", IF(C282, INDEX(Input!$C$11:$C$17, B282), 0))</f>
        <v/>
      </c>
      <c r="E282" s="5">
        <f>IF(A282="","", IF(C282, INDEX(Input!$D$11:$D$17, B282), 0))</f>
        <v/>
      </c>
      <c r="F282" s="4">
        <f>IF(A282="","", A282 - (B282-1))</f>
        <v/>
      </c>
      <c r="G282" s="4">
        <f>IF(A282="","", B282=7)</f>
        <v/>
      </c>
    </row>
    <row r="283">
      <c r="A283" s="4" t="n"/>
      <c r="B283" s="4">
        <f>IF(A283="","",WEEKDAY(A283,2))</f>
        <v/>
      </c>
      <c r="C283" s="4">
        <f>IF(A283="","",IF(INDEX(Input!$B$11:$B$17, B283)=1, TRUE, FALSE))</f>
        <v/>
      </c>
      <c r="D283" s="5">
        <f>IF(A283="","", IF(C283, INDEX(Input!$C$11:$C$17, B283), 0))</f>
        <v/>
      </c>
      <c r="E283" s="5">
        <f>IF(A283="","", IF(C283, INDEX(Input!$D$11:$D$17, B283), 0))</f>
        <v/>
      </c>
      <c r="F283" s="4">
        <f>IF(A283="","", A283 - (B283-1))</f>
        <v/>
      </c>
      <c r="G283" s="4">
        <f>IF(A283="","", B283=7)</f>
        <v/>
      </c>
    </row>
    <row r="284">
      <c r="A284" s="4" t="n"/>
      <c r="B284" s="4">
        <f>IF(A284="","",WEEKDAY(A284,2))</f>
        <v/>
      </c>
      <c r="C284" s="4">
        <f>IF(A284="","",IF(INDEX(Input!$B$11:$B$17, B284)=1, TRUE, FALSE))</f>
        <v/>
      </c>
      <c r="D284" s="5">
        <f>IF(A284="","", IF(C284, INDEX(Input!$C$11:$C$17, B284), 0))</f>
        <v/>
      </c>
      <c r="E284" s="5">
        <f>IF(A284="","", IF(C284, INDEX(Input!$D$11:$D$17, B284), 0))</f>
        <v/>
      </c>
      <c r="F284" s="4">
        <f>IF(A284="","", A284 - (B284-1))</f>
        <v/>
      </c>
      <c r="G284" s="4">
        <f>IF(A284="","", B284=7)</f>
        <v/>
      </c>
    </row>
    <row r="285">
      <c r="A285" s="4" t="n"/>
      <c r="B285" s="4">
        <f>IF(A285="","",WEEKDAY(A285,2))</f>
        <v/>
      </c>
      <c r="C285" s="4">
        <f>IF(A285="","",IF(INDEX(Input!$B$11:$B$17, B285)=1, TRUE, FALSE))</f>
        <v/>
      </c>
      <c r="D285" s="5">
        <f>IF(A285="","", IF(C285, INDEX(Input!$C$11:$C$17, B285), 0))</f>
        <v/>
      </c>
      <c r="E285" s="5">
        <f>IF(A285="","", IF(C285, INDEX(Input!$D$11:$D$17, B285), 0))</f>
        <v/>
      </c>
      <c r="F285" s="4">
        <f>IF(A285="","", A285 - (B285-1))</f>
        <v/>
      </c>
      <c r="G285" s="4">
        <f>IF(A285="","", B285=7)</f>
        <v/>
      </c>
    </row>
    <row r="286">
      <c r="A286" s="4" t="n"/>
      <c r="B286" s="4">
        <f>IF(A286="","",WEEKDAY(A286,2))</f>
        <v/>
      </c>
      <c r="C286" s="4">
        <f>IF(A286="","",IF(INDEX(Input!$B$11:$B$17, B286)=1, TRUE, FALSE))</f>
        <v/>
      </c>
      <c r="D286" s="5">
        <f>IF(A286="","", IF(C286, INDEX(Input!$C$11:$C$17, B286), 0))</f>
        <v/>
      </c>
      <c r="E286" s="5">
        <f>IF(A286="","", IF(C286, INDEX(Input!$D$11:$D$17, B286), 0))</f>
        <v/>
      </c>
      <c r="F286" s="4">
        <f>IF(A286="","", A286 - (B286-1))</f>
        <v/>
      </c>
      <c r="G286" s="4">
        <f>IF(A286="","", B286=7)</f>
        <v/>
      </c>
    </row>
    <row r="287">
      <c r="A287" s="4" t="n"/>
      <c r="B287" s="4">
        <f>IF(A287="","",WEEKDAY(A287,2))</f>
        <v/>
      </c>
      <c r="C287" s="4">
        <f>IF(A287="","",IF(INDEX(Input!$B$11:$B$17, B287)=1, TRUE, FALSE))</f>
        <v/>
      </c>
      <c r="D287" s="5">
        <f>IF(A287="","", IF(C287, INDEX(Input!$C$11:$C$17, B287), 0))</f>
        <v/>
      </c>
      <c r="E287" s="5">
        <f>IF(A287="","", IF(C287, INDEX(Input!$D$11:$D$17, B287), 0))</f>
        <v/>
      </c>
      <c r="F287" s="4">
        <f>IF(A287="","", A287 - (B287-1))</f>
        <v/>
      </c>
      <c r="G287" s="4">
        <f>IF(A287="","", B287=7)</f>
        <v/>
      </c>
    </row>
    <row r="288">
      <c r="A288" s="4" t="n"/>
      <c r="B288" s="4">
        <f>IF(A288="","",WEEKDAY(A288,2))</f>
        <v/>
      </c>
      <c r="C288" s="4">
        <f>IF(A288="","",IF(INDEX(Input!$B$11:$B$17, B288)=1, TRUE, FALSE))</f>
        <v/>
      </c>
      <c r="D288" s="5">
        <f>IF(A288="","", IF(C288, INDEX(Input!$C$11:$C$17, B288), 0))</f>
        <v/>
      </c>
      <c r="E288" s="5">
        <f>IF(A288="","", IF(C288, INDEX(Input!$D$11:$D$17, B288), 0))</f>
        <v/>
      </c>
      <c r="F288" s="4">
        <f>IF(A288="","", A288 - (B288-1))</f>
        <v/>
      </c>
      <c r="G288" s="4">
        <f>IF(A288="","", B288=7)</f>
        <v/>
      </c>
    </row>
    <row r="289">
      <c r="A289" s="4" t="n"/>
      <c r="B289" s="4">
        <f>IF(A289="","",WEEKDAY(A289,2))</f>
        <v/>
      </c>
      <c r="C289" s="4">
        <f>IF(A289="","",IF(INDEX(Input!$B$11:$B$17, B289)=1, TRUE, FALSE))</f>
        <v/>
      </c>
      <c r="D289" s="5">
        <f>IF(A289="","", IF(C289, INDEX(Input!$C$11:$C$17, B289), 0))</f>
        <v/>
      </c>
      <c r="E289" s="5">
        <f>IF(A289="","", IF(C289, INDEX(Input!$D$11:$D$17, B289), 0))</f>
        <v/>
      </c>
      <c r="F289" s="4">
        <f>IF(A289="","", A289 - (B289-1))</f>
        <v/>
      </c>
      <c r="G289" s="4">
        <f>IF(A289="","", B289=7)</f>
        <v/>
      </c>
    </row>
    <row r="290">
      <c r="A290" s="4" t="n"/>
      <c r="B290" s="4">
        <f>IF(A290="","",WEEKDAY(A290,2))</f>
        <v/>
      </c>
      <c r="C290" s="4">
        <f>IF(A290="","",IF(INDEX(Input!$B$11:$B$17, B290)=1, TRUE, FALSE))</f>
        <v/>
      </c>
      <c r="D290" s="5">
        <f>IF(A290="","", IF(C290, INDEX(Input!$C$11:$C$17, B290), 0))</f>
        <v/>
      </c>
      <c r="E290" s="5">
        <f>IF(A290="","", IF(C290, INDEX(Input!$D$11:$D$17, B290), 0))</f>
        <v/>
      </c>
      <c r="F290" s="4">
        <f>IF(A290="","", A290 - (B290-1))</f>
        <v/>
      </c>
      <c r="G290" s="4">
        <f>IF(A290="","", B290=7)</f>
        <v/>
      </c>
    </row>
    <row r="291">
      <c r="A291" s="4" t="n"/>
      <c r="B291" s="4">
        <f>IF(A291="","",WEEKDAY(A291,2))</f>
        <v/>
      </c>
      <c r="C291" s="4">
        <f>IF(A291="","",IF(INDEX(Input!$B$11:$B$17, B291)=1, TRUE, FALSE))</f>
        <v/>
      </c>
      <c r="D291" s="5">
        <f>IF(A291="","", IF(C291, INDEX(Input!$C$11:$C$17, B291), 0))</f>
        <v/>
      </c>
      <c r="E291" s="5">
        <f>IF(A291="","", IF(C291, INDEX(Input!$D$11:$D$17, B291), 0))</f>
        <v/>
      </c>
      <c r="F291" s="4">
        <f>IF(A291="","", A291 - (B291-1))</f>
        <v/>
      </c>
      <c r="G291" s="4">
        <f>IF(A291="","", B291=7)</f>
        <v/>
      </c>
    </row>
    <row r="292">
      <c r="A292" s="4" t="n"/>
      <c r="B292" s="4">
        <f>IF(A292="","",WEEKDAY(A292,2))</f>
        <v/>
      </c>
      <c r="C292" s="4">
        <f>IF(A292="","",IF(INDEX(Input!$B$11:$B$17, B292)=1, TRUE, FALSE))</f>
        <v/>
      </c>
      <c r="D292" s="5">
        <f>IF(A292="","", IF(C292, INDEX(Input!$C$11:$C$17, B292), 0))</f>
        <v/>
      </c>
      <c r="E292" s="5">
        <f>IF(A292="","", IF(C292, INDEX(Input!$D$11:$D$17, B292), 0))</f>
        <v/>
      </c>
      <c r="F292" s="4">
        <f>IF(A292="","", A292 - (B292-1))</f>
        <v/>
      </c>
      <c r="G292" s="4">
        <f>IF(A292="","", B292=7)</f>
        <v/>
      </c>
    </row>
    <row r="293">
      <c r="A293" s="4" t="n"/>
      <c r="B293" s="4">
        <f>IF(A293="","",WEEKDAY(A293,2))</f>
        <v/>
      </c>
      <c r="C293" s="4">
        <f>IF(A293="","",IF(INDEX(Input!$B$11:$B$17, B293)=1, TRUE, FALSE))</f>
        <v/>
      </c>
      <c r="D293" s="5">
        <f>IF(A293="","", IF(C293, INDEX(Input!$C$11:$C$17, B293), 0))</f>
        <v/>
      </c>
      <c r="E293" s="5">
        <f>IF(A293="","", IF(C293, INDEX(Input!$D$11:$D$17, B293), 0))</f>
        <v/>
      </c>
      <c r="F293" s="4">
        <f>IF(A293="","", A293 - (B293-1))</f>
        <v/>
      </c>
      <c r="G293" s="4">
        <f>IF(A293="","", B293=7)</f>
        <v/>
      </c>
    </row>
    <row r="294">
      <c r="A294" s="4" t="n"/>
      <c r="B294" s="4">
        <f>IF(A294="","",WEEKDAY(A294,2))</f>
        <v/>
      </c>
      <c r="C294" s="4">
        <f>IF(A294="","",IF(INDEX(Input!$B$11:$B$17, B294)=1, TRUE, FALSE))</f>
        <v/>
      </c>
      <c r="D294" s="5">
        <f>IF(A294="","", IF(C294, INDEX(Input!$C$11:$C$17, B294), 0))</f>
        <v/>
      </c>
      <c r="E294" s="5">
        <f>IF(A294="","", IF(C294, INDEX(Input!$D$11:$D$17, B294), 0))</f>
        <v/>
      </c>
      <c r="F294" s="4">
        <f>IF(A294="","", A294 - (B294-1))</f>
        <v/>
      </c>
      <c r="G294" s="4">
        <f>IF(A294="","", B294=7)</f>
        <v/>
      </c>
    </row>
    <row r="295">
      <c r="A295" s="4" t="n"/>
      <c r="B295" s="4">
        <f>IF(A295="","",WEEKDAY(A295,2))</f>
        <v/>
      </c>
      <c r="C295" s="4">
        <f>IF(A295="","",IF(INDEX(Input!$B$11:$B$17, B295)=1, TRUE, FALSE))</f>
        <v/>
      </c>
      <c r="D295" s="5">
        <f>IF(A295="","", IF(C295, INDEX(Input!$C$11:$C$17, B295), 0))</f>
        <v/>
      </c>
      <c r="E295" s="5">
        <f>IF(A295="","", IF(C295, INDEX(Input!$D$11:$D$17, B295), 0))</f>
        <v/>
      </c>
      <c r="F295" s="4">
        <f>IF(A295="","", A295 - (B295-1))</f>
        <v/>
      </c>
      <c r="G295" s="4">
        <f>IF(A295="","", B295=7)</f>
        <v/>
      </c>
    </row>
    <row r="296">
      <c r="A296" s="4" t="n"/>
      <c r="B296" s="4">
        <f>IF(A296="","",WEEKDAY(A296,2))</f>
        <v/>
      </c>
      <c r="C296" s="4">
        <f>IF(A296="","",IF(INDEX(Input!$B$11:$B$17, B296)=1, TRUE, FALSE))</f>
        <v/>
      </c>
      <c r="D296" s="5">
        <f>IF(A296="","", IF(C296, INDEX(Input!$C$11:$C$17, B296), 0))</f>
        <v/>
      </c>
      <c r="E296" s="5">
        <f>IF(A296="","", IF(C296, INDEX(Input!$D$11:$D$17, B296), 0))</f>
        <v/>
      </c>
      <c r="F296" s="4">
        <f>IF(A296="","", A296 - (B296-1))</f>
        <v/>
      </c>
      <c r="G296" s="4">
        <f>IF(A296="","", B296=7)</f>
        <v/>
      </c>
    </row>
    <row r="297">
      <c r="A297" s="4" t="n"/>
      <c r="B297" s="4">
        <f>IF(A297="","",WEEKDAY(A297,2))</f>
        <v/>
      </c>
      <c r="C297" s="4">
        <f>IF(A297="","",IF(INDEX(Input!$B$11:$B$17, B297)=1, TRUE, FALSE))</f>
        <v/>
      </c>
      <c r="D297" s="5">
        <f>IF(A297="","", IF(C297, INDEX(Input!$C$11:$C$17, B297), 0))</f>
        <v/>
      </c>
      <c r="E297" s="5">
        <f>IF(A297="","", IF(C297, INDEX(Input!$D$11:$D$17, B297), 0))</f>
        <v/>
      </c>
      <c r="F297" s="4">
        <f>IF(A297="","", A297 - (B297-1))</f>
        <v/>
      </c>
      <c r="G297" s="4">
        <f>IF(A297="","", B297=7)</f>
        <v/>
      </c>
    </row>
    <row r="298">
      <c r="A298" s="4" t="n"/>
      <c r="B298" s="4">
        <f>IF(A298="","",WEEKDAY(A298,2))</f>
        <v/>
      </c>
      <c r="C298" s="4">
        <f>IF(A298="","",IF(INDEX(Input!$B$11:$B$17, B298)=1, TRUE, FALSE))</f>
        <v/>
      </c>
      <c r="D298" s="5">
        <f>IF(A298="","", IF(C298, INDEX(Input!$C$11:$C$17, B298), 0))</f>
        <v/>
      </c>
      <c r="E298" s="5">
        <f>IF(A298="","", IF(C298, INDEX(Input!$D$11:$D$17, B298), 0))</f>
        <v/>
      </c>
      <c r="F298" s="4">
        <f>IF(A298="","", A298 - (B298-1))</f>
        <v/>
      </c>
      <c r="G298" s="4">
        <f>IF(A298="","", B298=7)</f>
        <v/>
      </c>
    </row>
    <row r="299">
      <c r="A299" s="4" t="n"/>
      <c r="B299" s="4">
        <f>IF(A299="","",WEEKDAY(A299,2))</f>
        <v/>
      </c>
      <c r="C299" s="4">
        <f>IF(A299="","",IF(INDEX(Input!$B$11:$B$17, B299)=1, TRUE, FALSE))</f>
        <v/>
      </c>
      <c r="D299" s="5">
        <f>IF(A299="","", IF(C299, INDEX(Input!$C$11:$C$17, B299), 0))</f>
        <v/>
      </c>
      <c r="E299" s="5">
        <f>IF(A299="","", IF(C299, INDEX(Input!$D$11:$D$17, B299), 0))</f>
        <v/>
      </c>
      <c r="F299" s="4">
        <f>IF(A299="","", A299 - (B299-1))</f>
        <v/>
      </c>
      <c r="G299" s="4">
        <f>IF(A299="","", B299=7)</f>
        <v/>
      </c>
    </row>
    <row r="300">
      <c r="A300" s="4" t="n"/>
      <c r="B300" s="4">
        <f>IF(A300="","",WEEKDAY(A300,2))</f>
        <v/>
      </c>
      <c r="C300" s="4">
        <f>IF(A300="","",IF(INDEX(Input!$B$11:$B$17, B300)=1, TRUE, FALSE))</f>
        <v/>
      </c>
      <c r="D300" s="5">
        <f>IF(A300="","", IF(C300, INDEX(Input!$C$11:$C$17, B300), 0))</f>
        <v/>
      </c>
      <c r="E300" s="5">
        <f>IF(A300="","", IF(C300, INDEX(Input!$D$11:$D$17, B300), 0))</f>
        <v/>
      </c>
      <c r="F300" s="4">
        <f>IF(A300="","", A300 - (B300-1))</f>
        <v/>
      </c>
      <c r="G300" s="4">
        <f>IF(A300="","", B300=7)</f>
        <v/>
      </c>
    </row>
    <row r="301">
      <c r="A301" s="4" t="n"/>
      <c r="B301" s="4">
        <f>IF(A301="","",WEEKDAY(A301,2))</f>
        <v/>
      </c>
      <c r="C301" s="4">
        <f>IF(A301="","",IF(INDEX(Input!$B$11:$B$17, B301)=1, TRUE, FALSE))</f>
        <v/>
      </c>
      <c r="D301" s="5">
        <f>IF(A301="","", IF(C301, INDEX(Input!$C$11:$C$17, B301), 0))</f>
        <v/>
      </c>
      <c r="E301" s="5">
        <f>IF(A301="","", IF(C301, INDEX(Input!$D$11:$D$17, B301), 0))</f>
        <v/>
      </c>
      <c r="F301" s="4">
        <f>IF(A301="","", A301 - (B301-1))</f>
        <v/>
      </c>
      <c r="G301" s="4">
        <f>IF(A301="","", B301=7)</f>
        <v/>
      </c>
    </row>
    <row r="302">
      <c r="A302" s="4" t="n"/>
      <c r="B302" s="4">
        <f>IF(A302="","",WEEKDAY(A302,2))</f>
        <v/>
      </c>
      <c r="C302" s="4">
        <f>IF(A302="","",IF(INDEX(Input!$B$11:$B$17, B302)=1, TRUE, FALSE))</f>
        <v/>
      </c>
      <c r="D302" s="5">
        <f>IF(A302="","", IF(C302, INDEX(Input!$C$11:$C$17, B302), 0))</f>
        <v/>
      </c>
      <c r="E302" s="5">
        <f>IF(A302="","", IF(C302, INDEX(Input!$D$11:$D$17, B302), 0))</f>
        <v/>
      </c>
      <c r="F302" s="4">
        <f>IF(A302="","", A302 - (B302-1))</f>
        <v/>
      </c>
      <c r="G302" s="4">
        <f>IF(A302="","", B302=7)</f>
        <v/>
      </c>
    </row>
    <row r="303">
      <c r="A303" s="4" t="n"/>
      <c r="B303" s="4">
        <f>IF(A303="","",WEEKDAY(A303,2))</f>
        <v/>
      </c>
      <c r="C303" s="4">
        <f>IF(A303="","",IF(INDEX(Input!$B$11:$B$17, B303)=1, TRUE, FALSE))</f>
        <v/>
      </c>
      <c r="D303" s="5">
        <f>IF(A303="","", IF(C303, INDEX(Input!$C$11:$C$17, B303), 0))</f>
        <v/>
      </c>
      <c r="E303" s="5">
        <f>IF(A303="","", IF(C303, INDEX(Input!$D$11:$D$17, B303), 0))</f>
        <v/>
      </c>
      <c r="F303" s="4">
        <f>IF(A303="","", A303 - (B303-1))</f>
        <v/>
      </c>
      <c r="G303" s="4">
        <f>IF(A303="","", B303=7)</f>
        <v/>
      </c>
    </row>
    <row r="304">
      <c r="A304" s="4" t="n"/>
      <c r="B304" s="4">
        <f>IF(A304="","",WEEKDAY(A304,2))</f>
        <v/>
      </c>
      <c r="C304" s="4">
        <f>IF(A304="","",IF(INDEX(Input!$B$11:$B$17, B304)=1, TRUE, FALSE))</f>
        <v/>
      </c>
      <c r="D304" s="5">
        <f>IF(A304="","", IF(C304, INDEX(Input!$C$11:$C$17, B304), 0))</f>
        <v/>
      </c>
      <c r="E304" s="5">
        <f>IF(A304="","", IF(C304, INDEX(Input!$D$11:$D$17, B304), 0))</f>
        <v/>
      </c>
      <c r="F304" s="4">
        <f>IF(A304="","", A304 - (B304-1))</f>
        <v/>
      </c>
      <c r="G304" s="4">
        <f>IF(A304="","", B304=7)</f>
        <v/>
      </c>
    </row>
    <row r="305">
      <c r="A305" s="4" t="n"/>
      <c r="B305" s="4">
        <f>IF(A305="","",WEEKDAY(A305,2))</f>
        <v/>
      </c>
      <c r="C305" s="4">
        <f>IF(A305="","",IF(INDEX(Input!$B$11:$B$17, B305)=1, TRUE, FALSE))</f>
        <v/>
      </c>
      <c r="D305" s="5">
        <f>IF(A305="","", IF(C305, INDEX(Input!$C$11:$C$17, B305), 0))</f>
        <v/>
      </c>
      <c r="E305" s="5">
        <f>IF(A305="","", IF(C305, INDEX(Input!$D$11:$D$17, B305), 0))</f>
        <v/>
      </c>
      <c r="F305" s="4">
        <f>IF(A305="","", A305 - (B305-1))</f>
        <v/>
      </c>
      <c r="G305" s="4">
        <f>IF(A305="","", B305=7)</f>
        <v/>
      </c>
    </row>
    <row r="306">
      <c r="A306" s="4" t="n"/>
      <c r="B306" s="4">
        <f>IF(A306="","",WEEKDAY(A306,2))</f>
        <v/>
      </c>
      <c r="C306" s="4">
        <f>IF(A306="","",IF(INDEX(Input!$B$11:$B$17, B306)=1, TRUE, FALSE))</f>
        <v/>
      </c>
      <c r="D306" s="5">
        <f>IF(A306="","", IF(C306, INDEX(Input!$C$11:$C$17, B306), 0))</f>
        <v/>
      </c>
      <c r="E306" s="5">
        <f>IF(A306="","", IF(C306, INDEX(Input!$D$11:$D$17, B306), 0))</f>
        <v/>
      </c>
      <c r="F306" s="4">
        <f>IF(A306="","", A306 - (B306-1))</f>
        <v/>
      </c>
      <c r="G306" s="4">
        <f>IF(A306="","", B306=7)</f>
        <v/>
      </c>
    </row>
    <row r="307">
      <c r="A307" s="4" t="n"/>
      <c r="B307" s="4">
        <f>IF(A307="","",WEEKDAY(A307,2))</f>
        <v/>
      </c>
      <c r="C307" s="4">
        <f>IF(A307="","",IF(INDEX(Input!$B$11:$B$17, B307)=1, TRUE, FALSE))</f>
        <v/>
      </c>
      <c r="D307" s="5">
        <f>IF(A307="","", IF(C307, INDEX(Input!$C$11:$C$17, B307), 0))</f>
        <v/>
      </c>
      <c r="E307" s="5">
        <f>IF(A307="","", IF(C307, INDEX(Input!$D$11:$D$17, B307), 0))</f>
        <v/>
      </c>
      <c r="F307" s="4">
        <f>IF(A307="","", A307 - (B307-1))</f>
        <v/>
      </c>
      <c r="G307" s="4">
        <f>IF(A307="","", B307=7)</f>
        <v/>
      </c>
    </row>
    <row r="308">
      <c r="A308" s="4" t="n"/>
      <c r="B308" s="4">
        <f>IF(A308="","",WEEKDAY(A308,2))</f>
        <v/>
      </c>
      <c r="C308" s="4">
        <f>IF(A308="","",IF(INDEX(Input!$B$11:$B$17, B308)=1, TRUE, FALSE))</f>
        <v/>
      </c>
      <c r="D308" s="5">
        <f>IF(A308="","", IF(C308, INDEX(Input!$C$11:$C$17, B308), 0))</f>
        <v/>
      </c>
      <c r="E308" s="5">
        <f>IF(A308="","", IF(C308, INDEX(Input!$D$11:$D$17, B308), 0))</f>
        <v/>
      </c>
      <c r="F308" s="4">
        <f>IF(A308="","", A308 - (B308-1))</f>
        <v/>
      </c>
      <c r="G308" s="4">
        <f>IF(A308="","", B308=7)</f>
        <v/>
      </c>
    </row>
    <row r="309">
      <c r="A309" s="4" t="n"/>
      <c r="B309" s="4">
        <f>IF(A309="","",WEEKDAY(A309,2))</f>
        <v/>
      </c>
      <c r="C309" s="4">
        <f>IF(A309="","",IF(INDEX(Input!$B$11:$B$17, B309)=1, TRUE, FALSE))</f>
        <v/>
      </c>
      <c r="D309" s="5">
        <f>IF(A309="","", IF(C309, INDEX(Input!$C$11:$C$17, B309), 0))</f>
        <v/>
      </c>
      <c r="E309" s="5">
        <f>IF(A309="","", IF(C309, INDEX(Input!$D$11:$D$17, B309), 0))</f>
        <v/>
      </c>
      <c r="F309" s="4">
        <f>IF(A309="","", A309 - (B309-1))</f>
        <v/>
      </c>
      <c r="G309" s="4">
        <f>IF(A309="","", B309=7)</f>
        <v/>
      </c>
    </row>
    <row r="310">
      <c r="A310" s="4" t="n"/>
      <c r="B310" s="4">
        <f>IF(A310="","",WEEKDAY(A310,2))</f>
        <v/>
      </c>
      <c r="C310" s="4">
        <f>IF(A310="","",IF(INDEX(Input!$B$11:$B$17, B310)=1, TRUE, FALSE))</f>
        <v/>
      </c>
      <c r="D310" s="5">
        <f>IF(A310="","", IF(C310, INDEX(Input!$C$11:$C$17, B310), 0))</f>
        <v/>
      </c>
      <c r="E310" s="5">
        <f>IF(A310="","", IF(C310, INDEX(Input!$D$11:$D$17, B310), 0))</f>
        <v/>
      </c>
      <c r="F310" s="4">
        <f>IF(A310="","", A310 - (B310-1))</f>
        <v/>
      </c>
      <c r="G310" s="4">
        <f>IF(A310="","", B310=7)</f>
        <v/>
      </c>
    </row>
    <row r="311">
      <c r="A311" s="4" t="n"/>
      <c r="B311" s="4">
        <f>IF(A311="","",WEEKDAY(A311,2))</f>
        <v/>
      </c>
      <c r="C311" s="4">
        <f>IF(A311="","",IF(INDEX(Input!$B$11:$B$17, B311)=1, TRUE, FALSE))</f>
        <v/>
      </c>
      <c r="D311" s="5">
        <f>IF(A311="","", IF(C311, INDEX(Input!$C$11:$C$17, B311), 0))</f>
        <v/>
      </c>
      <c r="E311" s="5">
        <f>IF(A311="","", IF(C311, INDEX(Input!$D$11:$D$17, B311), 0))</f>
        <v/>
      </c>
      <c r="F311" s="4">
        <f>IF(A311="","", A311 - (B311-1))</f>
        <v/>
      </c>
      <c r="G311" s="4">
        <f>IF(A311="","", B311=7)</f>
        <v/>
      </c>
    </row>
    <row r="312">
      <c r="A312" s="4" t="n"/>
      <c r="B312" s="4">
        <f>IF(A312="","",WEEKDAY(A312,2))</f>
        <v/>
      </c>
      <c r="C312" s="4">
        <f>IF(A312="","",IF(INDEX(Input!$B$11:$B$17, B312)=1, TRUE, FALSE))</f>
        <v/>
      </c>
      <c r="D312" s="5">
        <f>IF(A312="","", IF(C312, INDEX(Input!$C$11:$C$17, B312), 0))</f>
        <v/>
      </c>
      <c r="E312" s="5">
        <f>IF(A312="","", IF(C312, INDEX(Input!$D$11:$D$17, B312), 0))</f>
        <v/>
      </c>
      <c r="F312" s="4">
        <f>IF(A312="","", A312 - (B312-1))</f>
        <v/>
      </c>
      <c r="G312" s="4">
        <f>IF(A312="","", B312=7)</f>
        <v/>
      </c>
    </row>
    <row r="313">
      <c r="A313" s="4" t="n"/>
      <c r="B313" s="4">
        <f>IF(A313="","",WEEKDAY(A313,2))</f>
        <v/>
      </c>
      <c r="C313" s="4">
        <f>IF(A313="","",IF(INDEX(Input!$B$11:$B$17, B313)=1, TRUE, FALSE))</f>
        <v/>
      </c>
      <c r="D313" s="5">
        <f>IF(A313="","", IF(C313, INDEX(Input!$C$11:$C$17, B313), 0))</f>
        <v/>
      </c>
      <c r="E313" s="5">
        <f>IF(A313="","", IF(C313, INDEX(Input!$D$11:$D$17, B313), 0))</f>
        <v/>
      </c>
      <c r="F313" s="4">
        <f>IF(A313="","", A313 - (B313-1))</f>
        <v/>
      </c>
      <c r="G313" s="4">
        <f>IF(A313="","", B313=7)</f>
        <v/>
      </c>
    </row>
    <row r="314">
      <c r="A314" s="4" t="n"/>
      <c r="B314" s="4">
        <f>IF(A314="","",WEEKDAY(A314,2))</f>
        <v/>
      </c>
      <c r="C314" s="4">
        <f>IF(A314="","",IF(INDEX(Input!$B$11:$B$17, B314)=1, TRUE, FALSE))</f>
        <v/>
      </c>
      <c r="D314" s="5">
        <f>IF(A314="","", IF(C314, INDEX(Input!$C$11:$C$17, B314), 0))</f>
        <v/>
      </c>
      <c r="E314" s="5">
        <f>IF(A314="","", IF(C314, INDEX(Input!$D$11:$D$17, B314), 0))</f>
        <v/>
      </c>
      <c r="F314" s="4">
        <f>IF(A314="","", A314 - (B314-1))</f>
        <v/>
      </c>
      <c r="G314" s="4">
        <f>IF(A314="","", B314=7)</f>
        <v/>
      </c>
    </row>
    <row r="315">
      <c r="A315" s="4" t="n"/>
      <c r="B315" s="4">
        <f>IF(A315="","",WEEKDAY(A315,2))</f>
        <v/>
      </c>
      <c r="C315" s="4">
        <f>IF(A315="","",IF(INDEX(Input!$B$11:$B$17, B315)=1, TRUE, FALSE))</f>
        <v/>
      </c>
      <c r="D315" s="5">
        <f>IF(A315="","", IF(C315, INDEX(Input!$C$11:$C$17, B315), 0))</f>
        <v/>
      </c>
      <c r="E315" s="5">
        <f>IF(A315="","", IF(C315, INDEX(Input!$D$11:$D$17, B315), 0))</f>
        <v/>
      </c>
      <c r="F315" s="4">
        <f>IF(A315="","", A315 - (B315-1))</f>
        <v/>
      </c>
      <c r="G315" s="4">
        <f>IF(A315="","", B315=7)</f>
        <v/>
      </c>
    </row>
    <row r="316">
      <c r="A316" s="4" t="n"/>
      <c r="B316" s="4">
        <f>IF(A316="","",WEEKDAY(A316,2))</f>
        <v/>
      </c>
      <c r="C316" s="4">
        <f>IF(A316="","",IF(INDEX(Input!$B$11:$B$17, B316)=1, TRUE, FALSE))</f>
        <v/>
      </c>
      <c r="D316" s="5">
        <f>IF(A316="","", IF(C316, INDEX(Input!$C$11:$C$17, B316), 0))</f>
        <v/>
      </c>
      <c r="E316" s="5">
        <f>IF(A316="","", IF(C316, INDEX(Input!$D$11:$D$17, B316), 0))</f>
        <v/>
      </c>
      <c r="F316" s="4">
        <f>IF(A316="","", A316 - (B316-1))</f>
        <v/>
      </c>
      <c r="G316" s="4">
        <f>IF(A316="","", B316=7)</f>
        <v/>
      </c>
    </row>
    <row r="317">
      <c r="A317" s="4" t="n"/>
      <c r="B317" s="4">
        <f>IF(A317="","",WEEKDAY(A317,2))</f>
        <v/>
      </c>
      <c r="C317" s="4">
        <f>IF(A317="","",IF(INDEX(Input!$B$11:$B$17, B317)=1, TRUE, FALSE))</f>
        <v/>
      </c>
      <c r="D317" s="5">
        <f>IF(A317="","", IF(C317, INDEX(Input!$C$11:$C$17, B317), 0))</f>
        <v/>
      </c>
      <c r="E317" s="5">
        <f>IF(A317="","", IF(C317, INDEX(Input!$D$11:$D$17, B317), 0))</f>
        <v/>
      </c>
      <c r="F317" s="4">
        <f>IF(A317="","", A317 - (B317-1))</f>
        <v/>
      </c>
      <c r="G317" s="4">
        <f>IF(A317="","", B317=7)</f>
        <v/>
      </c>
    </row>
    <row r="318">
      <c r="A318" s="4" t="n"/>
      <c r="B318" s="4">
        <f>IF(A318="","",WEEKDAY(A318,2))</f>
        <v/>
      </c>
      <c r="C318" s="4">
        <f>IF(A318="","",IF(INDEX(Input!$B$11:$B$17, B318)=1, TRUE, FALSE))</f>
        <v/>
      </c>
      <c r="D318" s="5">
        <f>IF(A318="","", IF(C318, INDEX(Input!$C$11:$C$17, B318), 0))</f>
        <v/>
      </c>
      <c r="E318" s="5">
        <f>IF(A318="","", IF(C318, INDEX(Input!$D$11:$D$17, B318), 0))</f>
        <v/>
      </c>
      <c r="F318" s="4">
        <f>IF(A318="","", A318 - (B318-1))</f>
        <v/>
      </c>
      <c r="G318" s="4">
        <f>IF(A318="","", B318=7)</f>
        <v/>
      </c>
    </row>
    <row r="319">
      <c r="A319" s="4" t="n"/>
      <c r="B319" s="4">
        <f>IF(A319="","",WEEKDAY(A319,2))</f>
        <v/>
      </c>
      <c r="C319" s="4">
        <f>IF(A319="","",IF(INDEX(Input!$B$11:$B$17, B319)=1, TRUE, FALSE))</f>
        <v/>
      </c>
      <c r="D319" s="5">
        <f>IF(A319="","", IF(C319, INDEX(Input!$C$11:$C$17, B319), 0))</f>
        <v/>
      </c>
      <c r="E319" s="5">
        <f>IF(A319="","", IF(C319, INDEX(Input!$D$11:$D$17, B319), 0))</f>
        <v/>
      </c>
      <c r="F319" s="4">
        <f>IF(A319="","", A319 - (B319-1))</f>
        <v/>
      </c>
      <c r="G319" s="4">
        <f>IF(A319="","", B319=7)</f>
        <v/>
      </c>
    </row>
    <row r="320">
      <c r="A320" s="4" t="n"/>
      <c r="B320" s="4">
        <f>IF(A320="","",WEEKDAY(A320,2))</f>
        <v/>
      </c>
      <c r="C320" s="4">
        <f>IF(A320="","",IF(INDEX(Input!$B$11:$B$17, B320)=1, TRUE, FALSE))</f>
        <v/>
      </c>
      <c r="D320" s="5">
        <f>IF(A320="","", IF(C320, INDEX(Input!$C$11:$C$17, B320), 0))</f>
        <v/>
      </c>
      <c r="E320" s="5">
        <f>IF(A320="","", IF(C320, INDEX(Input!$D$11:$D$17, B320), 0))</f>
        <v/>
      </c>
      <c r="F320" s="4">
        <f>IF(A320="","", A320 - (B320-1))</f>
        <v/>
      </c>
      <c r="G320" s="4">
        <f>IF(A320="","", B320=7)</f>
        <v/>
      </c>
    </row>
    <row r="321">
      <c r="A321" s="4" t="n"/>
      <c r="B321" s="4">
        <f>IF(A321="","",WEEKDAY(A321,2))</f>
        <v/>
      </c>
      <c r="C321" s="4">
        <f>IF(A321="","",IF(INDEX(Input!$B$11:$B$17, B321)=1, TRUE, FALSE))</f>
        <v/>
      </c>
      <c r="D321" s="5">
        <f>IF(A321="","", IF(C321, INDEX(Input!$C$11:$C$17, B321), 0))</f>
        <v/>
      </c>
      <c r="E321" s="5">
        <f>IF(A321="","", IF(C321, INDEX(Input!$D$11:$D$17, B321), 0))</f>
        <v/>
      </c>
      <c r="F321" s="4">
        <f>IF(A321="","", A321 - (B321-1))</f>
        <v/>
      </c>
      <c r="G321" s="4">
        <f>IF(A321="","", B321=7)</f>
        <v/>
      </c>
    </row>
    <row r="322">
      <c r="A322" s="4" t="n"/>
      <c r="B322" s="4">
        <f>IF(A322="","",WEEKDAY(A322,2))</f>
        <v/>
      </c>
      <c r="C322" s="4">
        <f>IF(A322="","",IF(INDEX(Input!$B$11:$B$17, B322)=1, TRUE, FALSE))</f>
        <v/>
      </c>
      <c r="D322" s="5">
        <f>IF(A322="","", IF(C322, INDEX(Input!$C$11:$C$17, B322), 0))</f>
        <v/>
      </c>
      <c r="E322" s="5">
        <f>IF(A322="","", IF(C322, INDEX(Input!$D$11:$D$17, B322), 0))</f>
        <v/>
      </c>
      <c r="F322" s="4">
        <f>IF(A322="","", A322 - (B322-1))</f>
        <v/>
      </c>
      <c r="G322" s="4">
        <f>IF(A322="","", B322=7)</f>
        <v/>
      </c>
    </row>
    <row r="323">
      <c r="A323" s="4" t="n"/>
      <c r="B323" s="4">
        <f>IF(A323="","",WEEKDAY(A323,2))</f>
        <v/>
      </c>
      <c r="C323" s="4">
        <f>IF(A323="","",IF(INDEX(Input!$B$11:$B$17, B323)=1, TRUE, FALSE))</f>
        <v/>
      </c>
      <c r="D323" s="5">
        <f>IF(A323="","", IF(C323, INDEX(Input!$C$11:$C$17, B323), 0))</f>
        <v/>
      </c>
      <c r="E323" s="5">
        <f>IF(A323="","", IF(C323, INDEX(Input!$D$11:$D$17, B323), 0))</f>
        <v/>
      </c>
      <c r="F323" s="4">
        <f>IF(A323="","", A323 - (B323-1))</f>
        <v/>
      </c>
      <c r="G323" s="4">
        <f>IF(A323="","", B323=7)</f>
        <v/>
      </c>
    </row>
    <row r="324">
      <c r="A324" s="4" t="n"/>
      <c r="B324" s="4">
        <f>IF(A324="","",WEEKDAY(A324,2))</f>
        <v/>
      </c>
      <c r="C324" s="4">
        <f>IF(A324="","",IF(INDEX(Input!$B$11:$B$17, B324)=1, TRUE, FALSE))</f>
        <v/>
      </c>
      <c r="D324" s="5">
        <f>IF(A324="","", IF(C324, INDEX(Input!$C$11:$C$17, B324), 0))</f>
        <v/>
      </c>
      <c r="E324" s="5">
        <f>IF(A324="","", IF(C324, INDEX(Input!$D$11:$D$17, B324), 0))</f>
        <v/>
      </c>
      <c r="F324" s="4">
        <f>IF(A324="","", A324 - (B324-1))</f>
        <v/>
      </c>
      <c r="G324" s="4">
        <f>IF(A324="","", B324=7)</f>
        <v/>
      </c>
    </row>
    <row r="325">
      <c r="A325" s="4" t="n"/>
      <c r="B325" s="4">
        <f>IF(A325="","",WEEKDAY(A325,2))</f>
        <v/>
      </c>
      <c r="C325" s="4">
        <f>IF(A325="","",IF(INDEX(Input!$B$11:$B$17, B325)=1, TRUE, FALSE))</f>
        <v/>
      </c>
      <c r="D325" s="5">
        <f>IF(A325="","", IF(C325, INDEX(Input!$C$11:$C$17, B325), 0))</f>
        <v/>
      </c>
      <c r="E325" s="5">
        <f>IF(A325="","", IF(C325, INDEX(Input!$D$11:$D$17, B325), 0))</f>
        <v/>
      </c>
      <c r="F325" s="4">
        <f>IF(A325="","", A325 - (B325-1))</f>
        <v/>
      </c>
      <c r="G325" s="4">
        <f>IF(A325="","", B325=7)</f>
        <v/>
      </c>
    </row>
    <row r="326">
      <c r="A326" s="4" t="n"/>
      <c r="B326" s="4">
        <f>IF(A326="","",WEEKDAY(A326,2))</f>
        <v/>
      </c>
      <c r="C326" s="4">
        <f>IF(A326="","",IF(INDEX(Input!$B$11:$B$17, B326)=1, TRUE, FALSE))</f>
        <v/>
      </c>
      <c r="D326" s="5">
        <f>IF(A326="","", IF(C326, INDEX(Input!$C$11:$C$17, B326), 0))</f>
        <v/>
      </c>
      <c r="E326" s="5">
        <f>IF(A326="","", IF(C326, INDEX(Input!$D$11:$D$17, B326), 0))</f>
        <v/>
      </c>
      <c r="F326" s="4">
        <f>IF(A326="","", A326 - (B326-1))</f>
        <v/>
      </c>
      <c r="G326" s="4">
        <f>IF(A326="","", B326=7)</f>
        <v/>
      </c>
    </row>
    <row r="327">
      <c r="A327" s="4" t="n"/>
      <c r="B327" s="4">
        <f>IF(A327="","",WEEKDAY(A327,2))</f>
        <v/>
      </c>
      <c r="C327" s="4">
        <f>IF(A327="","",IF(INDEX(Input!$B$11:$B$17, B327)=1, TRUE, FALSE))</f>
        <v/>
      </c>
      <c r="D327" s="5">
        <f>IF(A327="","", IF(C327, INDEX(Input!$C$11:$C$17, B327), 0))</f>
        <v/>
      </c>
      <c r="E327" s="5">
        <f>IF(A327="","", IF(C327, INDEX(Input!$D$11:$D$17, B327), 0))</f>
        <v/>
      </c>
      <c r="F327" s="4">
        <f>IF(A327="","", A327 - (B327-1))</f>
        <v/>
      </c>
      <c r="G327" s="4">
        <f>IF(A327="","", B327=7)</f>
        <v/>
      </c>
    </row>
    <row r="328">
      <c r="A328" s="4" t="n"/>
      <c r="B328" s="4">
        <f>IF(A328="","",WEEKDAY(A328,2))</f>
        <v/>
      </c>
      <c r="C328" s="4">
        <f>IF(A328="","",IF(INDEX(Input!$B$11:$B$17, B328)=1, TRUE, FALSE))</f>
        <v/>
      </c>
      <c r="D328" s="5">
        <f>IF(A328="","", IF(C328, INDEX(Input!$C$11:$C$17, B328), 0))</f>
        <v/>
      </c>
      <c r="E328" s="5">
        <f>IF(A328="","", IF(C328, INDEX(Input!$D$11:$D$17, B328), 0))</f>
        <v/>
      </c>
      <c r="F328" s="4">
        <f>IF(A328="","", A328 - (B328-1))</f>
        <v/>
      </c>
      <c r="G328" s="4">
        <f>IF(A328="","", B328=7)</f>
        <v/>
      </c>
    </row>
    <row r="329">
      <c r="A329" s="4" t="n"/>
      <c r="B329" s="4">
        <f>IF(A329="","",WEEKDAY(A329,2))</f>
        <v/>
      </c>
      <c r="C329" s="4">
        <f>IF(A329="","",IF(INDEX(Input!$B$11:$B$17, B329)=1, TRUE, FALSE))</f>
        <v/>
      </c>
      <c r="D329" s="5">
        <f>IF(A329="","", IF(C329, INDEX(Input!$C$11:$C$17, B329), 0))</f>
        <v/>
      </c>
      <c r="E329" s="5">
        <f>IF(A329="","", IF(C329, INDEX(Input!$D$11:$D$17, B329), 0))</f>
        <v/>
      </c>
      <c r="F329" s="4">
        <f>IF(A329="","", A329 - (B329-1))</f>
        <v/>
      </c>
      <c r="G329" s="4">
        <f>IF(A329="","", B329=7)</f>
        <v/>
      </c>
    </row>
    <row r="330">
      <c r="A330" s="4" t="n"/>
      <c r="B330" s="4">
        <f>IF(A330="","",WEEKDAY(A330,2))</f>
        <v/>
      </c>
      <c r="C330" s="4">
        <f>IF(A330="","",IF(INDEX(Input!$B$11:$B$17, B330)=1, TRUE, FALSE))</f>
        <v/>
      </c>
      <c r="D330" s="5">
        <f>IF(A330="","", IF(C330, INDEX(Input!$C$11:$C$17, B330), 0))</f>
        <v/>
      </c>
      <c r="E330" s="5">
        <f>IF(A330="","", IF(C330, INDEX(Input!$D$11:$D$17, B330), 0))</f>
        <v/>
      </c>
      <c r="F330" s="4">
        <f>IF(A330="","", A330 - (B330-1))</f>
        <v/>
      </c>
      <c r="G330" s="4">
        <f>IF(A330="","", B330=7)</f>
        <v/>
      </c>
    </row>
    <row r="331">
      <c r="A331" s="4" t="n"/>
      <c r="B331" s="4">
        <f>IF(A331="","",WEEKDAY(A331,2))</f>
        <v/>
      </c>
      <c r="C331" s="4">
        <f>IF(A331="","",IF(INDEX(Input!$B$11:$B$17, B331)=1, TRUE, FALSE))</f>
        <v/>
      </c>
      <c r="D331" s="5">
        <f>IF(A331="","", IF(C331, INDEX(Input!$C$11:$C$17, B331), 0))</f>
        <v/>
      </c>
      <c r="E331" s="5">
        <f>IF(A331="","", IF(C331, INDEX(Input!$D$11:$D$17, B331), 0))</f>
        <v/>
      </c>
      <c r="F331" s="4">
        <f>IF(A331="","", A331 - (B331-1))</f>
        <v/>
      </c>
      <c r="G331" s="4">
        <f>IF(A331="","", B331=7)</f>
        <v/>
      </c>
    </row>
    <row r="332">
      <c r="A332" s="4" t="n"/>
      <c r="B332" s="4">
        <f>IF(A332="","",WEEKDAY(A332,2))</f>
        <v/>
      </c>
      <c r="C332" s="4">
        <f>IF(A332="","",IF(INDEX(Input!$B$11:$B$17, B332)=1, TRUE, FALSE))</f>
        <v/>
      </c>
      <c r="D332" s="5">
        <f>IF(A332="","", IF(C332, INDEX(Input!$C$11:$C$17, B332), 0))</f>
        <v/>
      </c>
      <c r="E332" s="5">
        <f>IF(A332="","", IF(C332, INDEX(Input!$D$11:$D$17, B332), 0))</f>
        <v/>
      </c>
      <c r="F332" s="4">
        <f>IF(A332="","", A332 - (B332-1))</f>
        <v/>
      </c>
      <c r="G332" s="4">
        <f>IF(A332="","", B332=7)</f>
        <v/>
      </c>
    </row>
    <row r="333">
      <c r="A333" s="4" t="n"/>
      <c r="B333" s="4">
        <f>IF(A333="","",WEEKDAY(A333,2))</f>
        <v/>
      </c>
      <c r="C333" s="4">
        <f>IF(A333="","",IF(INDEX(Input!$B$11:$B$17, B333)=1, TRUE, FALSE))</f>
        <v/>
      </c>
      <c r="D333" s="5">
        <f>IF(A333="","", IF(C333, INDEX(Input!$C$11:$C$17, B333), 0))</f>
        <v/>
      </c>
      <c r="E333" s="5">
        <f>IF(A333="","", IF(C333, INDEX(Input!$D$11:$D$17, B333), 0))</f>
        <v/>
      </c>
      <c r="F333" s="4">
        <f>IF(A333="","", A333 - (B333-1))</f>
        <v/>
      </c>
      <c r="G333" s="4">
        <f>IF(A333="","", B333=7)</f>
        <v/>
      </c>
    </row>
    <row r="334">
      <c r="A334" s="4" t="n"/>
      <c r="B334" s="4">
        <f>IF(A334="","",WEEKDAY(A334,2))</f>
        <v/>
      </c>
      <c r="C334" s="4">
        <f>IF(A334="","",IF(INDEX(Input!$B$11:$B$17, B334)=1, TRUE, FALSE))</f>
        <v/>
      </c>
      <c r="D334" s="5">
        <f>IF(A334="","", IF(C334, INDEX(Input!$C$11:$C$17, B334), 0))</f>
        <v/>
      </c>
      <c r="E334" s="5">
        <f>IF(A334="","", IF(C334, INDEX(Input!$D$11:$D$17, B334), 0))</f>
        <v/>
      </c>
      <c r="F334" s="4">
        <f>IF(A334="","", A334 - (B334-1))</f>
        <v/>
      </c>
      <c r="G334" s="4">
        <f>IF(A334="","", B334=7)</f>
        <v/>
      </c>
    </row>
    <row r="335">
      <c r="A335" s="4" t="n"/>
      <c r="B335" s="4">
        <f>IF(A335="","",WEEKDAY(A335,2))</f>
        <v/>
      </c>
      <c r="C335" s="4">
        <f>IF(A335="","",IF(INDEX(Input!$B$11:$B$17, B335)=1, TRUE, FALSE))</f>
        <v/>
      </c>
      <c r="D335" s="5">
        <f>IF(A335="","", IF(C335, INDEX(Input!$C$11:$C$17, B335), 0))</f>
        <v/>
      </c>
      <c r="E335" s="5">
        <f>IF(A335="","", IF(C335, INDEX(Input!$D$11:$D$17, B335), 0))</f>
        <v/>
      </c>
      <c r="F335" s="4">
        <f>IF(A335="","", A335 - (B335-1))</f>
        <v/>
      </c>
      <c r="G335" s="4">
        <f>IF(A335="","", B335=7)</f>
        <v/>
      </c>
    </row>
    <row r="336">
      <c r="A336" s="4" t="n"/>
      <c r="B336" s="4">
        <f>IF(A336="","",WEEKDAY(A336,2))</f>
        <v/>
      </c>
      <c r="C336" s="4">
        <f>IF(A336="","",IF(INDEX(Input!$B$11:$B$17, B336)=1, TRUE, FALSE))</f>
        <v/>
      </c>
      <c r="D336" s="5">
        <f>IF(A336="","", IF(C336, INDEX(Input!$C$11:$C$17, B336), 0))</f>
        <v/>
      </c>
      <c r="E336" s="5">
        <f>IF(A336="","", IF(C336, INDEX(Input!$D$11:$D$17, B336), 0))</f>
        <v/>
      </c>
      <c r="F336" s="4">
        <f>IF(A336="","", A336 - (B336-1))</f>
        <v/>
      </c>
      <c r="G336" s="4">
        <f>IF(A336="","", B336=7)</f>
        <v/>
      </c>
    </row>
    <row r="337">
      <c r="A337" s="4" t="n"/>
      <c r="B337" s="4">
        <f>IF(A337="","",WEEKDAY(A337,2))</f>
        <v/>
      </c>
      <c r="C337" s="4">
        <f>IF(A337="","",IF(INDEX(Input!$B$11:$B$17, B337)=1, TRUE, FALSE))</f>
        <v/>
      </c>
      <c r="D337" s="5">
        <f>IF(A337="","", IF(C337, INDEX(Input!$C$11:$C$17, B337), 0))</f>
        <v/>
      </c>
      <c r="E337" s="5">
        <f>IF(A337="","", IF(C337, INDEX(Input!$D$11:$D$17, B337), 0))</f>
        <v/>
      </c>
      <c r="F337" s="4">
        <f>IF(A337="","", A337 - (B337-1))</f>
        <v/>
      </c>
      <c r="G337" s="4">
        <f>IF(A337="","", B337=7)</f>
        <v/>
      </c>
    </row>
    <row r="338">
      <c r="A338" s="4" t="n"/>
      <c r="B338" s="4">
        <f>IF(A338="","",WEEKDAY(A338,2))</f>
        <v/>
      </c>
      <c r="C338" s="4">
        <f>IF(A338="","",IF(INDEX(Input!$B$11:$B$17, B338)=1, TRUE, FALSE))</f>
        <v/>
      </c>
      <c r="D338" s="5">
        <f>IF(A338="","", IF(C338, INDEX(Input!$C$11:$C$17, B338), 0))</f>
        <v/>
      </c>
      <c r="E338" s="5">
        <f>IF(A338="","", IF(C338, INDEX(Input!$D$11:$D$17, B338), 0))</f>
        <v/>
      </c>
      <c r="F338" s="4">
        <f>IF(A338="","", A338 - (B338-1))</f>
        <v/>
      </c>
      <c r="G338" s="4">
        <f>IF(A338="","", B338=7)</f>
        <v/>
      </c>
    </row>
    <row r="339">
      <c r="A339" s="4" t="n"/>
      <c r="B339" s="4">
        <f>IF(A339="","",WEEKDAY(A339,2))</f>
        <v/>
      </c>
      <c r="C339" s="4">
        <f>IF(A339="","",IF(INDEX(Input!$B$11:$B$17, B339)=1, TRUE, FALSE))</f>
        <v/>
      </c>
      <c r="D339" s="5">
        <f>IF(A339="","", IF(C339, INDEX(Input!$C$11:$C$17, B339), 0))</f>
        <v/>
      </c>
      <c r="E339" s="5">
        <f>IF(A339="","", IF(C339, INDEX(Input!$D$11:$D$17, B339), 0))</f>
        <v/>
      </c>
      <c r="F339" s="4">
        <f>IF(A339="","", A339 - (B339-1))</f>
        <v/>
      </c>
      <c r="G339" s="4">
        <f>IF(A339="","", B339=7)</f>
        <v/>
      </c>
    </row>
    <row r="340">
      <c r="A340" s="4" t="n"/>
      <c r="B340" s="4">
        <f>IF(A340="","",WEEKDAY(A340,2))</f>
        <v/>
      </c>
      <c r="C340" s="4">
        <f>IF(A340="","",IF(INDEX(Input!$B$11:$B$17, B340)=1, TRUE, FALSE))</f>
        <v/>
      </c>
      <c r="D340" s="5">
        <f>IF(A340="","", IF(C340, INDEX(Input!$C$11:$C$17, B340), 0))</f>
        <v/>
      </c>
      <c r="E340" s="5">
        <f>IF(A340="","", IF(C340, INDEX(Input!$D$11:$D$17, B340), 0))</f>
        <v/>
      </c>
      <c r="F340" s="4">
        <f>IF(A340="","", A340 - (B340-1))</f>
        <v/>
      </c>
      <c r="G340" s="4">
        <f>IF(A340="","", B340=7)</f>
        <v/>
      </c>
    </row>
    <row r="341">
      <c r="A341" s="4" t="n"/>
      <c r="B341" s="4">
        <f>IF(A341="","",WEEKDAY(A341,2))</f>
        <v/>
      </c>
      <c r="C341" s="4">
        <f>IF(A341="","",IF(INDEX(Input!$B$11:$B$17, B341)=1, TRUE, FALSE))</f>
        <v/>
      </c>
      <c r="D341" s="5">
        <f>IF(A341="","", IF(C341, INDEX(Input!$C$11:$C$17, B341), 0))</f>
        <v/>
      </c>
      <c r="E341" s="5">
        <f>IF(A341="","", IF(C341, INDEX(Input!$D$11:$D$17, B341), 0))</f>
        <v/>
      </c>
      <c r="F341" s="4">
        <f>IF(A341="","", A341 - (B341-1))</f>
        <v/>
      </c>
      <c r="G341" s="4">
        <f>IF(A341="","", B341=7)</f>
        <v/>
      </c>
    </row>
    <row r="342">
      <c r="A342" s="4" t="n"/>
      <c r="B342" s="4">
        <f>IF(A342="","",WEEKDAY(A342,2))</f>
        <v/>
      </c>
      <c r="C342" s="4">
        <f>IF(A342="","",IF(INDEX(Input!$B$11:$B$17, B342)=1, TRUE, FALSE))</f>
        <v/>
      </c>
      <c r="D342" s="5">
        <f>IF(A342="","", IF(C342, INDEX(Input!$C$11:$C$17, B342), 0))</f>
        <v/>
      </c>
      <c r="E342" s="5">
        <f>IF(A342="","", IF(C342, INDEX(Input!$D$11:$D$17, B342), 0))</f>
        <v/>
      </c>
      <c r="F342" s="4">
        <f>IF(A342="","", A342 - (B342-1))</f>
        <v/>
      </c>
      <c r="G342" s="4">
        <f>IF(A342="","", B342=7)</f>
        <v/>
      </c>
    </row>
    <row r="343">
      <c r="A343" s="4" t="n"/>
      <c r="B343" s="4">
        <f>IF(A343="","",WEEKDAY(A343,2))</f>
        <v/>
      </c>
      <c r="C343" s="4">
        <f>IF(A343="","",IF(INDEX(Input!$B$11:$B$17, B343)=1, TRUE, FALSE))</f>
        <v/>
      </c>
      <c r="D343" s="5">
        <f>IF(A343="","", IF(C343, INDEX(Input!$C$11:$C$17, B343), 0))</f>
        <v/>
      </c>
      <c r="E343" s="5">
        <f>IF(A343="","", IF(C343, INDEX(Input!$D$11:$D$17, B343), 0))</f>
        <v/>
      </c>
      <c r="F343" s="4">
        <f>IF(A343="","", A343 - (B343-1))</f>
        <v/>
      </c>
      <c r="G343" s="4">
        <f>IF(A343="","", B343=7)</f>
        <v/>
      </c>
    </row>
    <row r="344">
      <c r="A344" s="4" t="n"/>
      <c r="B344" s="4">
        <f>IF(A344="","",WEEKDAY(A344,2))</f>
        <v/>
      </c>
      <c r="C344" s="4">
        <f>IF(A344="","",IF(INDEX(Input!$B$11:$B$17, B344)=1, TRUE, FALSE))</f>
        <v/>
      </c>
      <c r="D344" s="5">
        <f>IF(A344="","", IF(C344, INDEX(Input!$C$11:$C$17, B344), 0))</f>
        <v/>
      </c>
      <c r="E344" s="5">
        <f>IF(A344="","", IF(C344, INDEX(Input!$D$11:$D$17, B344), 0))</f>
        <v/>
      </c>
      <c r="F344" s="4">
        <f>IF(A344="","", A344 - (B344-1))</f>
        <v/>
      </c>
      <c r="G344" s="4">
        <f>IF(A344="","", B344=7)</f>
        <v/>
      </c>
    </row>
    <row r="345">
      <c r="A345" s="4" t="n"/>
      <c r="B345" s="4">
        <f>IF(A345="","",WEEKDAY(A345,2))</f>
        <v/>
      </c>
      <c r="C345" s="4">
        <f>IF(A345="","",IF(INDEX(Input!$B$11:$B$17, B345)=1, TRUE, FALSE))</f>
        <v/>
      </c>
      <c r="D345" s="5">
        <f>IF(A345="","", IF(C345, INDEX(Input!$C$11:$C$17, B345), 0))</f>
        <v/>
      </c>
      <c r="E345" s="5">
        <f>IF(A345="","", IF(C345, INDEX(Input!$D$11:$D$17, B345), 0))</f>
        <v/>
      </c>
      <c r="F345" s="4">
        <f>IF(A345="","", A345 - (B345-1))</f>
        <v/>
      </c>
      <c r="G345" s="4">
        <f>IF(A345="","", B345=7)</f>
        <v/>
      </c>
    </row>
    <row r="346">
      <c r="A346" s="4" t="n"/>
      <c r="B346" s="4">
        <f>IF(A346="","",WEEKDAY(A346,2))</f>
        <v/>
      </c>
      <c r="C346" s="4">
        <f>IF(A346="","",IF(INDEX(Input!$B$11:$B$17, B346)=1, TRUE, FALSE))</f>
        <v/>
      </c>
      <c r="D346" s="5">
        <f>IF(A346="","", IF(C346, INDEX(Input!$C$11:$C$17, B346), 0))</f>
        <v/>
      </c>
      <c r="E346" s="5">
        <f>IF(A346="","", IF(C346, INDEX(Input!$D$11:$D$17, B346), 0))</f>
        <v/>
      </c>
      <c r="F346" s="4">
        <f>IF(A346="","", A346 - (B346-1))</f>
        <v/>
      </c>
      <c r="G346" s="4">
        <f>IF(A346="","", B346=7)</f>
        <v/>
      </c>
    </row>
    <row r="347">
      <c r="A347" s="4" t="n"/>
      <c r="B347" s="4">
        <f>IF(A347="","",WEEKDAY(A347,2))</f>
        <v/>
      </c>
      <c r="C347" s="4">
        <f>IF(A347="","",IF(INDEX(Input!$B$11:$B$17, B347)=1, TRUE, FALSE))</f>
        <v/>
      </c>
      <c r="D347" s="5">
        <f>IF(A347="","", IF(C347, INDEX(Input!$C$11:$C$17, B347), 0))</f>
        <v/>
      </c>
      <c r="E347" s="5">
        <f>IF(A347="","", IF(C347, INDEX(Input!$D$11:$D$17, B347), 0))</f>
        <v/>
      </c>
      <c r="F347" s="4">
        <f>IF(A347="","", A347 - (B347-1))</f>
        <v/>
      </c>
      <c r="G347" s="4">
        <f>IF(A347="","", B347=7)</f>
        <v/>
      </c>
    </row>
    <row r="348">
      <c r="A348" s="4" t="n"/>
      <c r="B348" s="4">
        <f>IF(A348="","",WEEKDAY(A348,2))</f>
        <v/>
      </c>
      <c r="C348" s="4">
        <f>IF(A348="","",IF(INDEX(Input!$B$11:$B$17, B348)=1, TRUE, FALSE))</f>
        <v/>
      </c>
      <c r="D348" s="5">
        <f>IF(A348="","", IF(C348, INDEX(Input!$C$11:$C$17, B348), 0))</f>
        <v/>
      </c>
      <c r="E348" s="5">
        <f>IF(A348="","", IF(C348, INDEX(Input!$D$11:$D$17, B348), 0))</f>
        <v/>
      </c>
      <c r="F348" s="4">
        <f>IF(A348="","", A348 - (B348-1))</f>
        <v/>
      </c>
      <c r="G348" s="4">
        <f>IF(A348="","", B348=7)</f>
        <v/>
      </c>
    </row>
    <row r="349">
      <c r="A349" s="4" t="n"/>
      <c r="B349" s="4">
        <f>IF(A349="","",WEEKDAY(A349,2))</f>
        <v/>
      </c>
      <c r="C349" s="4">
        <f>IF(A349="","",IF(INDEX(Input!$B$11:$B$17, B349)=1, TRUE, FALSE))</f>
        <v/>
      </c>
      <c r="D349" s="5">
        <f>IF(A349="","", IF(C349, INDEX(Input!$C$11:$C$17, B349), 0))</f>
        <v/>
      </c>
      <c r="E349" s="5">
        <f>IF(A349="","", IF(C349, INDEX(Input!$D$11:$D$17, B349), 0))</f>
        <v/>
      </c>
      <c r="F349" s="4">
        <f>IF(A349="","", A349 - (B349-1))</f>
        <v/>
      </c>
      <c r="G349" s="4">
        <f>IF(A349="","", B349=7)</f>
        <v/>
      </c>
    </row>
    <row r="350">
      <c r="A350" s="4" t="n"/>
      <c r="B350" s="4">
        <f>IF(A350="","",WEEKDAY(A350,2))</f>
        <v/>
      </c>
      <c r="C350" s="4">
        <f>IF(A350="","",IF(INDEX(Input!$B$11:$B$17, B350)=1, TRUE, FALSE))</f>
        <v/>
      </c>
      <c r="D350" s="5">
        <f>IF(A350="","", IF(C350, INDEX(Input!$C$11:$C$17, B350), 0))</f>
        <v/>
      </c>
      <c r="E350" s="5">
        <f>IF(A350="","", IF(C350, INDEX(Input!$D$11:$D$17, B350), 0))</f>
        <v/>
      </c>
      <c r="F350" s="4">
        <f>IF(A350="","", A350 - (B350-1))</f>
        <v/>
      </c>
      <c r="G350" s="4">
        <f>IF(A350="","", B350=7)</f>
        <v/>
      </c>
    </row>
    <row r="351">
      <c r="A351" s="4" t="n"/>
      <c r="B351" s="4">
        <f>IF(A351="","",WEEKDAY(A351,2))</f>
        <v/>
      </c>
      <c r="C351" s="4">
        <f>IF(A351="","",IF(INDEX(Input!$B$11:$B$17, B351)=1, TRUE, FALSE))</f>
        <v/>
      </c>
      <c r="D351" s="5">
        <f>IF(A351="","", IF(C351, INDEX(Input!$C$11:$C$17, B351), 0))</f>
        <v/>
      </c>
      <c r="E351" s="5">
        <f>IF(A351="","", IF(C351, INDEX(Input!$D$11:$D$17, B351), 0))</f>
        <v/>
      </c>
      <c r="F351" s="4">
        <f>IF(A351="","", A351 - (B351-1))</f>
        <v/>
      </c>
      <c r="G351" s="4">
        <f>IF(A351="","", B351=7)</f>
        <v/>
      </c>
    </row>
    <row r="352">
      <c r="A352" s="4" t="n"/>
      <c r="B352" s="4">
        <f>IF(A352="","",WEEKDAY(A352,2))</f>
        <v/>
      </c>
      <c r="C352" s="4">
        <f>IF(A352="","",IF(INDEX(Input!$B$11:$B$17, B352)=1, TRUE, FALSE))</f>
        <v/>
      </c>
      <c r="D352" s="5">
        <f>IF(A352="","", IF(C352, INDEX(Input!$C$11:$C$17, B352), 0))</f>
        <v/>
      </c>
      <c r="E352" s="5">
        <f>IF(A352="","", IF(C352, INDEX(Input!$D$11:$D$17, B352), 0))</f>
        <v/>
      </c>
      <c r="F352" s="4">
        <f>IF(A352="","", A352 - (B352-1))</f>
        <v/>
      </c>
      <c r="G352" s="4">
        <f>IF(A352="","", B352=7)</f>
        <v/>
      </c>
    </row>
    <row r="353">
      <c r="A353" s="4" t="n"/>
      <c r="B353" s="4">
        <f>IF(A353="","",WEEKDAY(A353,2))</f>
        <v/>
      </c>
      <c r="C353" s="4">
        <f>IF(A353="","",IF(INDEX(Input!$B$11:$B$17, B353)=1, TRUE, FALSE))</f>
        <v/>
      </c>
      <c r="D353" s="5">
        <f>IF(A353="","", IF(C353, INDEX(Input!$C$11:$C$17, B353), 0))</f>
        <v/>
      </c>
      <c r="E353" s="5">
        <f>IF(A353="","", IF(C353, INDEX(Input!$D$11:$D$17, B353), 0))</f>
        <v/>
      </c>
      <c r="F353" s="4">
        <f>IF(A353="","", A353 - (B353-1))</f>
        <v/>
      </c>
      <c r="G353" s="4">
        <f>IF(A353="","", B353=7)</f>
        <v/>
      </c>
    </row>
    <row r="354">
      <c r="A354" s="4" t="n"/>
      <c r="B354" s="4">
        <f>IF(A354="","",WEEKDAY(A354,2))</f>
        <v/>
      </c>
      <c r="C354" s="4">
        <f>IF(A354="","",IF(INDEX(Input!$B$11:$B$17, B354)=1, TRUE, FALSE))</f>
        <v/>
      </c>
      <c r="D354" s="5">
        <f>IF(A354="","", IF(C354, INDEX(Input!$C$11:$C$17, B354), 0))</f>
        <v/>
      </c>
      <c r="E354" s="5">
        <f>IF(A354="","", IF(C354, INDEX(Input!$D$11:$D$17, B354), 0))</f>
        <v/>
      </c>
      <c r="F354" s="4">
        <f>IF(A354="","", A354 - (B354-1))</f>
        <v/>
      </c>
      <c r="G354" s="4">
        <f>IF(A354="","", B354=7)</f>
        <v/>
      </c>
    </row>
    <row r="355">
      <c r="A355" s="4" t="n"/>
      <c r="B355" s="4">
        <f>IF(A355="","",WEEKDAY(A355,2))</f>
        <v/>
      </c>
      <c r="C355" s="4">
        <f>IF(A355="","",IF(INDEX(Input!$B$11:$B$17, B355)=1, TRUE, FALSE))</f>
        <v/>
      </c>
      <c r="D355" s="5">
        <f>IF(A355="","", IF(C355, INDEX(Input!$C$11:$C$17, B355), 0))</f>
        <v/>
      </c>
      <c r="E355" s="5">
        <f>IF(A355="","", IF(C355, INDEX(Input!$D$11:$D$17, B355), 0))</f>
        <v/>
      </c>
      <c r="F355" s="4">
        <f>IF(A355="","", A355 - (B355-1))</f>
        <v/>
      </c>
      <c r="G355" s="4">
        <f>IF(A355="","", B355=7)</f>
        <v/>
      </c>
    </row>
    <row r="356">
      <c r="A356" s="4" t="n"/>
      <c r="B356" s="4">
        <f>IF(A356="","",WEEKDAY(A356,2))</f>
        <v/>
      </c>
      <c r="C356" s="4">
        <f>IF(A356="","",IF(INDEX(Input!$B$11:$B$17, B356)=1, TRUE, FALSE))</f>
        <v/>
      </c>
      <c r="D356" s="5">
        <f>IF(A356="","", IF(C356, INDEX(Input!$C$11:$C$17, B356), 0))</f>
        <v/>
      </c>
      <c r="E356" s="5">
        <f>IF(A356="","", IF(C356, INDEX(Input!$D$11:$D$17, B356), 0))</f>
        <v/>
      </c>
      <c r="F356" s="4">
        <f>IF(A356="","", A356 - (B356-1))</f>
        <v/>
      </c>
      <c r="G356" s="4">
        <f>IF(A356="","", B356=7)</f>
        <v/>
      </c>
    </row>
    <row r="357">
      <c r="A357" s="4" t="n"/>
      <c r="B357" s="4">
        <f>IF(A357="","",WEEKDAY(A357,2))</f>
        <v/>
      </c>
      <c r="C357" s="4">
        <f>IF(A357="","",IF(INDEX(Input!$B$11:$B$17, B357)=1, TRUE, FALSE))</f>
        <v/>
      </c>
      <c r="D357" s="5">
        <f>IF(A357="","", IF(C357, INDEX(Input!$C$11:$C$17, B357), 0))</f>
        <v/>
      </c>
      <c r="E357" s="5">
        <f>IF(A357="","", IF(C357, INDEX(Input!$D$11:$D$17, B357), 0))</f>
        <v/>
      </c>
      <c r="F357" s="4">
        <f>IF(A357="","", A357 - (B357-1))</f>
        <v/>
      </c>
      <c r="G357" s="4">
        <f>IF(A357="","", B357=7)</f>
        <v/>
      </c>
    </row>
    <row r="358">
      <c r="A358" s="4" t="n"/>
      <c r="B358" s="4">
        <f>IF(A358="","",WEEKDAY(A358,2))</f>
        <v/>
      </c>
      <c r="C358" s="4">
        <f>IF(A358="","",IF(INDEX(Input!$B$11:$B$17, B358)=1, TRUE, FALSE))</f>
        <v/>
      </c>
      <c r="D358" s="5">
        <f>IF(A358="","", IF(C358, INDEX(Input!$C$11:$C$17, B358), 0))</f>
        <v/>
      </c>
      <c r="E358" s="5">
        <f>IF(A358="","", IF(C358, INDEX(Input!$D$11:$D$17, B358), 0))</f>
        <v/>
      </c>
      <c r="F358" s="4">
        <f>IF(A358="","", A358 - (B358-1))</f>
        <v/>
      </c>
      <c r="G358" s="4">
        <f>IF(A358="","", B358=7)</f>
        <v/>
      </c>
    </row>
    <row r="359">
      <c r="A359" s="4" t="n"/>
      <c r="B359" s="4">
        <f>IF(A359="","",WEEKDAY(A359,2))</f>
        <v/>
      </c>
      <c r="C359" s="4">
        <f>IF(A359="","",IF(INDEX(Input!$B$11:$B$17, B359)=1, TRUE, FALSE))</f>
        <v/>
      </c>
      <c r="D359" s="5">
        <f>IF(A359="","", IF(C359, INDEX(Input!$C$11:$C$17, B359), 0))</f>
        <v/>
      </c>
      <c r="E359" s="5">
        <f>IF(A359="","", IF(C359, INDEX(Input!$D$11:$D$17, B359), 0))</f>
        <v/>
      </c>
      <c r="F359" s="4">
        <f>IF(A359="","", A359 - (B359-1))</f>
        <v/>
      </c>
      <c r="G359" s="4">
        <f>IF(A359="","", B359=7)</f>
        <v/>
      </c>
    </row>
    <row r="360">
      <c r="A360" s="4" t="n"/>
      <c r="B360" s="4">
        <f>IF(A360="","",WEEKDAY(A360,2))</f>
        <v/>
      </c>
      <c r="C360" s="4">
        <f>IF(A360="","",IF(INDEX(Input!$B$11:$B$17, B360)=1, TRUE, FALSE))</f>
        <v/>
      </c>
      <c r="D360" s="5">
        <f>IF(A360="","", IF(C360, INDEX(Input!$C$11:$C$17, B360), 0))</f>
        <v/>
      </c>
      <c r="E360" s="5">
        <f>IF(A360="","", IF(C360, INDEX(Input!$D$11:$D$17, B360), 0))</f>
        <v/>
      </c>
      <c r="F360" s="4">
        <f>IF(A360="","", A360 - (B360-1))</f>
        <v/>
      </c>
      <c r="G360" s="4">
        <f>IF(A360="","", B360=7)</f>
        <v/>
      </c>
    </row>
    <row r="361">
      <c r="A361" s="4" t="n"/>
      <c r="B361" s="4">
        <f>IF(A361="","",WEEKDAY(A361,2))</f>
        <v/>
      </c>
      <c r="C361" s="4">
        <f>IF(A361="","",IF(INDEX(Input!$B$11:$B$17, B361)=1, TRUE, FALSE))</f>
        <v/>
      </c>
      <c r="D361" s="5">
        <f>IF(A361="","", IF(C361, INDEX(Input!$C$11:$C$17, B361), 0))</f>
        <v/>
      </c>
      <c r="E361" s="5">
        <f>IF(A361="","", IF(C361, INDEX(Input!$D$11:$D$17, B361), 0))</f>
        <v/>
      </c>
      <c r="F361" s="4">
        <f>IF(A361="","", A361 - (B361-1))</f>
        <v/>
      </c>
      <c r="G361" s="4">
        <f>IF(A361="","", B361=7)</f>
        <v/>
      </c>
    </row>
    <row r="362">
      <c r="A362" s="4" t="n"/>
      <c r="B362" s="4">
        <f>IF(A362="","",WEEKDAY(A362,2))</f>
        <v/>
      </c>
      <c r="C362" s="4">
        <f>IF(A362="","",IF(INDEX(Input!$B$11:$B$17, B362)=1, TRUE, FALSE))</f>
        <v/>
      </c>
      <c r="D362" s="5">
        <f>IF(A362="","", IF(C362, INDEX(Input!$C$11:$C$17, B362), 0))</f>
        <v/>
      </c>
      <c r="E362" s="5">
        <f>IF(A362="","", IF(C362, INDEX(Input!$D$11:$D$17, B362), 0))</f>
        <v/>
      </c>
      <c r="F362" s="4">
        <f>IF(A362="","", A362 - (B362-1))</f>
        <v/>
      </c>
      <c r="G362" s="4">
        <f>IF(A362="","", B362=7)</f>
        <v/>
      </c>
    </row>
    <row r="363">
      <c r="A363" s="4" t="n"/>
      <c r="B363" s="4">
        <f>IF(A363="","",WEEKDAY(A363,2))</f>
        <v/>
      </c>
      <c r="C363" s="4">
        <f>IF(A363="","",IF(INDEX(Input!$B$11:$B$17, B363)=1, TRUE, FALSE))</f>
        <v/>
      </c>
      <c r="D363" s="5">
        <f>IF(A363="","", IF(C363, INDEX(Input!$C$11:$C$17, B363), 0))</f>
        <v/>
      </c>
      <c r="E363" s="5">
        <f>IF(A363="","", IF(C363, INDEX(Input!$D$11:$D$17, B363), 0))</f>
        <v/>
      </c>
      <c r="F363" s="4">
        <f>IF(A363="","", A363 - (B363-1))</f>
        <v/>
      </c>
      <c r="G363" s="4">
        <f>IF(A363="","", B363=7)</f>
        <v/>
      </c>
    </row>
    <row r="364">
      <c r="A364" s="4" t="n"/>
      <c r="B364" s="4">
        <f>IF(A364="","",WEEKDAY(A364,2))</f>
        <v/>
      </c>
      <c r="C364" s="4">
        <f>IF(A364="","",IF(INDEX(Input!$B$11:$B$17, B364)=1, TRUE, FALSE))</f>
        <v/>
      </c>
      <c r="D364" s="5">
        <f>IF(A364="","", IF(C364, INDEX(Input!$C$11:$C$17, B364), 0))</f>
        <v/>
      </c>
      <c r="E364" s="5">
        <f>IF(A364="","", IF(C364, INDEX(Input!$D$11:$D$17, B364), 0))</f>
        <v/>
      </c>
      <c r="F364" s="4">
        <f>IF(A364="","", A364 - (B364-1))</f>
        <v/>
      </c>
      <c r="G364" s="4">
        <f>IF(A364="","", B364=7)</f>
        <v/>
      </c>
    </row>
    <row r="365">
      <c r="A365" s="4" t="n"/>
      <c r="B365" s="4">
        <f>IF(A365="","",WEEKDAY(A365,2))</f>
        <v/>
      </c>
      <c r="C365" s="4">
        <f>IF(A365="","",IF(INDEX(Input!$B$11:$B$17, B365)=1, TRUE, FALSE))</f>
        <v/>
      </c>
      <c r="D365" s="5">
        <f>IF(A365="","", IF(C365, INDEX(Input!$C$11:$C$17, B365), 0))</f>
        <v/>
      </c>
      <c r="E365" s="5">
        <f>IF(A365="","", IF(C365, INDEX(Input!$D$11:$D$17, B365), 0))</f>
        <v/>
      </c>
      <c r="F365" s="4">
        <f>IF(A365="","", A365 - (B365-1))</f>
        <v/>
      </c>
      <c r="G365" s="4">
        <f>IF(A365="","", B365=7)</f>
        <v/>
      </c>
    </row>
    <row r="366">
      <c r="A366" s="4" t="n"/>
      <c r="B366" s="4">
        <f>IF(A366="","",WEEKDAY(A366,2))</f>
        <v/>
      </c>
      <c r="C366" s="4">
        <f>IF(A366="","",IF(INDEX(Input!$B$11:$B$17, B366)=1, TRUE, FALSE))</f>
        <v/>
      </c>
      <c r="D366" s="5">
        <f>IF(A366="","", IF(C366, INDEX(Input!$C$11:$C$17, B366), 0))</f>
        <v/>
      </c>
      <c r="E366" s="5">
        <f>IF(A366="","", IF(C366, INDEX(Input!$D$11:$D$17, B366), 0))</f>
        <v/>
      </c>
      <c r="F366" s="4">
        <f>IF(A366="","", A366 - (B366-1))</f>
        <v/>
      </c>
      <c r="G366" s="4">
        <f>IF(A366="","", B366=7)</f>
        <v/>
      </c>
    </row>
    <row r="367">
      <c r="A367" s="4" t="n"/>
      <c r="B367" s="4">
        <f>IF(A367="","",WEEKDAY(A367,2))</f>
        <v/>
      </c>
      <c r="C367" s="4">
        <f>IF(A367="","",IF(INDEX(Input!$B$11:$B$17, B367)=1, TRUE, FALSE))</f>
        <v/>
      </c>
      <c r="D367" s="5">
        <f>IF(A367="","", IF(C367, INDEX(Input!$C$11:$C$17, B367), 0))</f>
        <v/>
      </c>
      <c r="E367" s="5">
        <f>IF(A367="","", IF(C367, INDEX(Input!$D$11:$D$17, B367), 0))</f>
        <v/>
      </c>
      <c r="F367" s="4">
        <f>IF(A367="","", A367 - (B367-1))</f>
        <v/>
      </c>
      <c r="G367" s="4">
        <f>IF(A367="","", B367=7)</f>
        <v/>
      </c>
    </row>
    <row r="368">
      <c r="A368" s="4" t="n"/>
      <c r="B368" s="4">
        <f>IF(A368="","",WEEKDAY(A368,2))</f>
        <v/>
      </c>
      <c r="C368" s="4">
        <f>IF(A368="","",IF(INDEX(Input!$B$11:$B$17, B368)=1, TRUE, FALSE))</f>
        <v/>
      </c>
      <c r="D368" s="5">
        <f>IF(A368="","", IF(C368, INDEX(Input!$C$11:$C$17, B368), 0))</f>
        <v/>
      </c>
      <c r="E368" s="5">
        <f>IF(A368="","", IF(C368, INDEX(Input!$D$11:$D$17, B368), 0))</f>
        <v/>
      </c>
      <c r="F368" s="4">
        <f>IF(A368="","", A368 - (B368-1))</f>
        <v/>
      </c>
      <c r="G368" s="4">
        <f>IF(A368="","", B368=7)</f>
        <v/>
      </c>
    </row>
    <row r="369">
      <c r="A369" s="4" t="n"/>
      <c r="B369" s="4">
        <f>IF(A369="","",WEEKDAY(A369,2))</f>
        <v/>
      </c>
      <c r="C369" s="4">
        <f>IF(A369="","",IF(INDEX(Input!$B$11:$B$17, B369)=1, TRUE, FALSE))</f>
        <v/>
      </c>
      <c r="D369" s="5">
        <f>IF(A369="","", IF(C369, INDEX(Input!$C$11:$C$17, B369), 0))</f>
        <v/>
      </c>
      <c r="E369" s="5">
        <f>IF(A369="","", IF(C369, INDEX(Input!$D$11:$D$17, B369), 0))</f>
        <v/>
      </c>
      <c r="F369" s="4">
        <f>IF(A369="","", A369 - (B369-1))</f>
        <v/>
      </c>
      <c r="G369" s="4">
        <f>IF(A369="","", B369=7)</f>
        <v/>
      </c>
    </row>
    <row r="370">
      <c r="A370" s="4" t="n"/>
      <c r="B370" s="4">
        <f>IF(A370="","",WEEKDAY(A370,2))</f>
        <v/>
      </c>
      <c r="C370" s="4">
        <f>IF(A370="","",IF(INDEX(Input!$B$11:$B$17, B370)=1, TRUE, FALSE))</f>
        <v/>
      </c>
      <c r="D370" s="5">
        <f>IF(A370="","", IF(C370, INDEX(Input!$C$11:$C$17, B370), 0))</f>
        <v/>
      </c>
      <c r="E370" s="5">
        <f>IF(A370="","", IF(C370, INDEX(Input!$D$11:$D$17, B370), 0))</f>
        <v/>
      </c>
      <c r="F370" s="4">
        <f>IF(A370="","", A370 - (B370-1))</f>
        <v/>
      </c>
      <c r="G370" s="4">
        <f>IF(A370="","", B370=7)</f>
        <v/>
      </c>
    </row>
    <row r="371">
      <c r="A371" s="4" t="n"/>
      <c r="B371" s="4">
        <f>IF(A371="","",WEEKDAY(A371,2))</f>
        <v/>
      </c>
      <c r="C371" s="4">
        <f>IF(A371="","",IF(INDEX(Input!$B$11:$B$17, B371)=1, TRUE, FALSE))</f>
        <v/>
      </c>
      <c r="D371" s="5">
        <f>IF(A371="","", IF(C371, INDEX(Input!$C$11:$C$17, B371), 0))</f>
        <v/>
      </c>
      <c r="E371" s="5">
        <f>IF(A371="","", IF(C371, INDEX(Input!$D$11:$D$17, B371), 0))</f>
        <v/>
      </c>
      <c r="F371" s="4">
        <f>IF(A371="","", A371 - (B371-1))</f>
        <v/>
      </c>
      <c r="G371" s="4">
        <f>IF(A371="","", B371=7)</f>
        <v/>
      </c>
    </row>
    <row r="372">
      <c r="A372" s="4" t="n"/>
      <c r="B372" s="4">
        <f>IF(A372="","",WEEKDAY(A372,2))</f>
        <v/>
      </c>
      <c r="C372" s="4">
        <f>IF(A372="","",IF(INDEX(Input!$B$11:$B$17, B372)=1, TRUE, FALSE))</f>
        <v/>
      </c>
      <c r="D372" s="5">
        <f>IF(A372="","", IF(C372, INDEX(Input!$C$11:$C$17, B372), 0))</f>
        <v/>
      </c>
      <c r="E372" s="5">
        <f>IF(A372="","", IF(C372, INDEX(Input!$D$11:$D$17, B372), 0))</f>
        <v/>
      </c>
      <c r="F372" s="4">
        <f>IF(A372="","", A372 - (B372-1))</f>
        <v/>
      </c>
      <c r="G372" s="4">
        <f>IF(A372="","", B372=7)</f>
        <v/>
      </c>
    </row>
    <row r="373">
      <c r="A373" s="4" t="n"/>
      <c r="B373" s="4">
        <f>IF(A373="","",WEEKDAY(A373,2))</f>
        <v/>
      </c>
      <c r="C373" s="4">
        <f>IF(A373="","",IF(INDEX(Input!$B$11:$B$17, B373)=1, TRUE, FALSE))</f>
        <v/>
      </c>
      <c r="D373" s="5">
        <f>IF(A373="","", IF(C373, INDEX(Input!$C$11:$C$17, B373), 0))</f>
        <v/>
      </c>
      <c r="E373" s="5">
        <f>IF(A373="","", IF(C373, INDEX(Input!$D$11:$D$17, B373), 0))</f>
        <v/>
      </c>
      <c r="F373" s="4">
        <f>IF(A373="","", A373 - (B373-1))</f>
        <v/>
      </c>
      <c r="G373" s="4">
        <f>IF(A373="","", B373=7)</f>
        <v/>
      </c>
    </row>
    <row r="374">
      <c r="A374" s="4" t="n"/>
      <c r="B374" s="4">
        <f>IF(A374="","",WEEKDAY(A374,2))</f>
        <v/>
      </c>
      <c r="C374" s="4">
        <f>IF(A374="","",IF(INDEX(Input!$B$11:$B$17, B374)=1, TRUE, FALSE))</f>
        <v/>
      </c>
      <c r="D374" s="5">
        <f>IF(A374="","", IF(C374, INDEX(Input!$C$11:$C$17, B374), 0))</f>
        <v/>
      </c>
      <c r="E374" s="5">
        <f>IF(A374="","", IF(C374, INDEX(Input!$D$11:$D$17, B374), 0))</f>
        <v/>
      </c>
      <c r="F374" s="4">
        <f>IF(A374="","", A374 - (B374-1))</f>
        <v/>
      </c>
      <c r="G374" s="4">
        <f>IF(A374="","", B374=7)</f>
        <v/>
      </c>
    </row>
    <row r="375">
      <c r="A375" s="4" t="n"/>
      <c r="B375" s="4">
        <f>IF(A375="","",WEEKDAY(A375,2))</f>
        <v/>
      </c>
      <c r="C375" s="4">
        <f>IF(A375="","",IF(INDEX(Input!$B$11:$B$17, B375)=1, TRUE, FALSE))</f>
        <v/>
      </c>
      <c r="D375" s="5">
        <f>IF(A375="","", IF(C375, INDEX(Input!$C$11:$C$17, B375), 0))</f>
        <v/>
      </c>
      <c r="E375" s="5">
        <f>IF(A375="","", IF(C375, INDEX(Input!$D$11:$D$17, B375), 0))</f>
        <v/>
      </c>
      <c r="F375" s="4">
        <f>IF(A375="","", A375 - (B375-1))</f>
        <v/>
      </c>
      <c r="G375" s="4">
        <f>IF(A375="","", B375=7)</f>
        <v/>
      </c>
    </row>
    <row r="376">
      <c r="A376" s="4" t="n"/>
      <c r="B376" s="4">
        <f>IF(A376="","",WEEKDAY(A376,2))</f>
        <v/>
      </c>
      <c r="C376" s="4">
        <f>IF(A376="","",IF(INDEX(Input!$B$11:$B$17, B376)=1, TRUE, FALSE))</f>
        <v/>
      </c>
      <c r="D376" s="5">
        <f>IF(A376="","", IF(C376, INDEX(Input!$C$11:$C$17, B376), 0))</f>
        <v/>
      </c>
      <c r="E376" s="5">
        <f>IF(A376="","", IF(C376, INDEX(Input!$D$11:$D$17, B376), 0))</f>
        <v/>
      </c>
      <c r="F376" s="4">
        <f>IF(A376="","", A376 - (B376-1))</f>
        <v/>
      </c>
      <c r="G376" s="4">
        <f>IF(A376="","", B376=7)</f>
        <v/>
      </c>
    </row>
    <row r="377">
      <c r="A377" s="4" t="n"/>
      <c r="B377" s="4">
        <f>IF(A377="","",WEEKDAY(A377,2))</f>
        <v/>
      </c>
      <c r="C377" s="4">
        <f>IF(A377="","",IF(INDEX(Input!$B$11:$B$17, B377)=1, TRUE, FALSE))</f>
        <v/>
      </c>
      <c r="D377" s="5">
        <f>IF(A377="","", IF(C377, INDEX(Input!$C$11:$C$17, B377), 0))</f>
        <v/>
      </c>
      <c r="E377" s="5">
        <f>IF(A377="","", IF(C377, INDEX(Input!$D$11:$D$17, B377), 0))</f>
        <v/>
      </c>
      <c r="F377" s="4">
        <f>IF(A377="","", A377 - (B377-1))</f>
        <v/>
      </c>
      <c r="G377" s="4">
        <f>IF(A377="","", B377=7)</f>
        <v/>
      </c>
    </row>
    <row r="378">
      <c r="A378" s="4" t="n"/>
      <c r="B378" s="4">
        <f>IF(A378="","",WEEKDAY(A378,2))</f>
        <v/>
      </c>
      <c r="C378" s="4">
        <f>IF(A378="","",IF(INDEX(Input!$B$11:$B$17, B378)=1, TRUE, FALSE))</f>
        <v/>
      </c>
      <c r="D378" s="5">
        <f>IF(A378="","", IF(C378, INDEX(Input!$C$11:$C$17, B378), 0))</f>
        <v/>
      </c>
      <c r="E378" s="5">
        <f>IF(A378="","", IF(C378, INDEX(Input!$D$11:$D$17, B378), 0))</f>
        <v/>
      </c>
      <c r="F378" s="4">
        <f>IF(A378="","", A378 - (B378-1))</f>
        <v/>
      </c>
      <c r="G378" s="4">
        <f>IF(A378="","", B378=7)</f>
        <v/>
      </c>
    </row>
    <row r="379">
      <c r="A379" s="4" t="n"/>
      <c r="B379" s="4">
        <f>IF(A379="","",WEEKDAY(A379,2))</f>
        <v/>
      </c>
      <c r="C379" s="4">
        <f>IF(A379="","",IF(INDEX(Input!$B$11:$B$17, B379)=1, TRUE, FALSE))</f>
        <v/>
      </c>
      <c r="D379" s="5">
        <f>IF(A379="","", IF(C379, INDEX(Input!$C$11:$C$17, B379), 0))</f>
        <v/>
      </c>
      <c r="E379" s="5">
        <f>IF(A379="","", IF(C379, INDEX(Input!$D$11:$D$17, B379), 0))</f>
        <v/>
      </c>
      <c r="F379" s="4">
        <f>IF(A379="","", A379 - (B379-1))</f>
        <v/>
      </c>
      <c r="G379" s="4">
        <f>IF(A379="","", B379=7)</f>
        <v/>
      </c>
    </row>
    <row r="380">
      <c r="A380" s="4" t="n"/>
      <c r="B380" s="4">
        <f>IF(A380="","",WEEKDAY(A380,2))</f>
        <v/>
      </c>
      <c r="C380" s="4">
        <f>IF(A380="","",IF(INDEX(Input!$B$11:$B$17, B380)=1, TRUE, FALSE))</f>
        <v/>
      </c>
      <c r="D380" s="5">
        <f>IF(A380="","", IF(C380, INDEX(Input!$C$11:$C$17, B380), 0))</f>
        <v/>
      </c>
      <c r="E380" s="5">
        <f>IF(A380="","", IF(C380, INDEX(Input!$D$11:$D$17, B380), 0))</f>
        <v/>
      </c>
      <c r="F380" s="4">
        <f>IF(A380="","", A380 - (B380-1))</f>
        <v/>
      </c>
      <c r="G380" s="4">
        <f>IF(A380="","", B380=7)</f>
        <v/>
      </c>
    </row>
    <row r="381">
      <c r="A381" s="4" t="n"/>
      <c r="B381" s="4">
        <f>IF(A381="","",WEEKDAY(A381,2))</f>
        <v/>
      </c>
      <c r="C381" s="4">
        <f>IF(A381="","",IF(INDEX(Input!$B$11:$B$17, B381)=1, TRUE, FALSE))</f>
        <v/>
      </c>
      <c r="D381" s="5">
        <f>IF(A381="","", IF(C381, INDEX(Input!$C$11:$C$17, B381), 0))</f>
        <v/>
      </c>
      <c r="E381" s="5">
        <f>IF(A381="","", IF(C381, INDEX(Input!$D$11:$D$17, B381), 0))</f>
        <v/>
      </c>
      <c r="F381" s="4">
        <f>IF(A381="","", A381 - (B381-1))</f>
        <v/>
      </c>
      <c r="G381" s="4">
        <f>IF(A381="","", B381=7)</f>
        <v/>
      </c>
    </row>
    <row r="382">
      <c r="A382" s="4" t="n"/>
      <c r="B382" s="4">
        <f>IF(A382="","",WEEKDAY(A382,2))</f>
        <v/>
      </c>
      <c r="C382" s="4">
        <f>IF(A382="","",IF(INDEX(Input!$B$11:$B$17, B382)=1, TRUE, FALSE))</f>
        <v/>
      </c>
      <c r="D382" s="5">
        <f>IF(A382="","", IF(C382, INDEX(Input!$C$11:$C$17, B382), 0))</f>
        <v/>
      </c>
      <c r="E382" s="5">
        <f>IF(A382="","", IF(C382, INDEX(Input!$D$11:$D$17, B382), 0))</f>
        <v/>
      </c>
      <c r="F382" s="4">
        <f>IF(A382="","", A382 - (B382-1))</f>
        <v/>
      </c>
      <c r="G382" s="4">
        <f>IF(A382="","", B382=7)</f>
        <v/>
      </c>
    </row>
    <row r="383">
      <c r="A383" s="4" t="n"/>
      <c r="B383" s="4">
        <f>IF(A383="","",WEEKDAY(A383,2))</f>
        <v/>
      </c>
      <c r="C383" s="4">
        <f>IF(A383="","",IF(INDEX(Input!$B$11:$B$17, B383)=1, TRUE, FALSE))</f>
        <v/>
      </c>
      <c r="D383" s="5">
        <f>IF(A383="","", IF(C383, INDEX(Input!$C$11:$C$17, B383), 0))</f>
        <v/>
      </c>
      <c r="E383" s="5">
        <f>IF(A383="","", IF(C383, INDEX(Input!$D$11:$D$17, B383), 0))</f>
        <v/>
      </c>
      <c r="F383" s="4">
        <f>IF(A383="","", A383 - (B383-1))</f>
        <v/>
      </c>
      <c r="G383" s="4">
        <f>IF(A383="","", B383=7)</f>
        <v/>
      </c>
    </row>
    <row r="384">
      <c r="A384" s="4" t="n"/>
      <c r="B384" s="4">
        <f>IF(A384="","",WEEKDAY(A384,2))</f>
        <v/>
      </c>
      <c r="C384" s="4">
        <f>IF(A384="","",IF(INDEX(Input!$B$11:$B$17, B384)=1, TRUE, FALSE))</f>
        <v/>
      </c>
      <c r="D384" s="5">
        <f>IF(A384="","", IF(C384, INDEX(Input!$C$11:$C$17, B384), 0))</f>
        <v/>
      </c>
      <c r="E384" s="5">
        <f>IF(A384="","", IF(C384, INDEX(Input!$D$11:$D$17, B384), 0))</f>
        <v/>
      </c>
      <c r="F384" s="4">
        <f>IF(A384="","", A384 - (B384-1))</f>
        <v/>
      </c>
      <c r="G384" s="4">
        <f>IF(A384="","", B384=7)</f>
        <v/>
      </c>
    </row>
    <row r="385">
      <c r="A385" s="4" t="n"/>
      <c r="B385" s="4">
        <f>IF(A385="","",WEEKDAY(A385,2))</f>
        <v/>
      </c>
      <c r="C385" s="4">
        <f>IF(A385="","",IF(INDEX(Input!$B$11:$B$17, B385)=1, TRUE, FALSE))</f>
        <v/>
      </c>
      <c r="D385" s="5">
        <f>IF(A385="","", IF(C385, INDEX(Input!$C$11:$C$17, B385), 0))</f>
        <v/>
      </c>
      <c r="E385" s="5">
        <f>IF(A385="","", IF(C385, INDEX(Input!$D$11:$D$17, B385), 0))</f>
        <v/>
      </c>
      <c r="F385" s="4">
        <f>IF(A385="","", A385 - (B385-1))</f>
        <v/>
      </c>
      <c r="G385" s="4">
        <f>IF(A385="","", B385=7)</f>
        <v/>
      </c>
    </row>
    <row r="386">
      <c r="A386" s="4" t="n"/>
      <c r="B386" s="4">
        <f>IF(A386="","",WEEKDAY(A386,2))</f>
        <v/>
      </c>
      <c r="C386" s="4">
        <f>IF(A386="","",IF(INDEX(Input!$B$11:$B$17, B386)=1, TRUE, FALSE))</f>
        <v/>
      </c>
      <c r="D386" s="5">
        <f>IF(A386="","", IF(C386, INDEX(Input!$C$11:$C$17, B386), 0))</f>
        <v/>
      </c>
      <c r="E386" s="5">
        <f>IF(A386="","", IF(C386, INDEX(Input!$D$11:$D$17, B386), 0))</f>
        <v/>
      </c>
      <c r="F386" s="4">
        <f>IF(A386="","", A386 - (B386-1))</f>
        <v/>
      </c>
      <c r="G386" s="4">
        <f>IF(A386="","", B386=7)</f>
        <v/>
      </c>
    </row>
    <row r="387">
      <c r="A387" s="4" t="n"/>
      <c r="B387" s="4">
        <f>IF(A387="","",WEEKDAY(A387,2))</f>
        <v/>
      </c>
      <c r="C387" s="4">
        <f>IF(A387="","",IF(INDEX(Input!$B$11:$B$17, B387)=1, TRUE, FALSE))</f>
        <v/>
      </c>
      <c r="D387" s="5">
        <f>IF(A387="","", IF(C387, INDEX(Input!$C$11:$C$17, B387), 0))</f>
        <v/>
      </c>
      <c r="E387" s="5">
        <f>IF(A387="","", IF(C387, INDEX(Input!$D$11:$D$17, B387), 0))</f>
        <v/>
      </c>
      <c r="F387" s="4">
        <f>IF(A387="","", A387 - (B387-1))</f>
        <v/>
      </c>
      <c r="G387" s="4">
        <f>IF(A387="","", B387=7)</f>
        <v/>
      </c>
    </row>
    <row r="388">
      <c r="A388" s="4" t="n"/>
      <c r="B388" s="4">
        <f>IF(A388="","",WEEKDAY(A388,2))</f>
        <v/>
      </c>
      <c r="C388" s="4">
        <f>IF(A388="","",IF(INDEX(Input!$B$11:$B$17, B388)=1, TRUE, FALSE))</f>
        <v/>
      </c>
      <c r="D388" s="5">
        <f>IF(A388="","", IF(C388, INDEX(Input!$C$11:$C$17, B388), 0))</f>
        <v/>
      </c>
      <c r="E388" s="5">
        <f>IF(A388="","", IF(C388, INDEX(Input!$D$11:$D$17, B388), 0))</f>
        <v/>
      </c>
      <c r="F388" s="4">
        <f>IF(A388="","", A388 - (B388-1))</f>
        <v/>
      </c>
      <c r="G388" s="4">
        <f>IF(A388="","", B388=7)</f>
        <v/>
      </c>
    </row>
    <row r="389">
      <c r="A389" s="4" t="n"/>
      <c r="B389" s="4">
        <f>IF(A389="","",WEEKDAY(A389,2))</f>
        <v/>
      </c>
      <c r="C389" s="4">
        <f>IF(A389="","",IF(INDEX(Input!$B$11:$B$17, B389)=1, TRUE, FALSE))</f>
        <v/>
      </c>
      <c r="D389" s="5">
        <f>IF(A389="","", IF(C389, INDEX(Input!$C$11:$C$17, B389), 0))</f>
        <v/>
      </c>
      <c r="E389" s="5">
        <f>IF(A389="","", IF(C389, INDEX(Input!$D$11:$D$17, B389), 0))</f>
        <v/>
      </c>
      <c r="F389" s="4">
        <f>IF(A389="","", A389 - (B389-1))</f>
        <v/>
      </c>
      <c r="G389" s="4">
        <f>IF(A389="","", B389=7)</f>
        <v/>
      </c>
    </row>
    <row r="390">
      <c r="A390" s="4" t="n"/>
      <c r="B390" s="4">
        <f>IF(A390="","",WEEKDAY(A390,2))</f>
        <v/>
      </c>
      <c r="C390" s="4">
        <f>IF(A390="","",IF(INDEX(Input!$B$11:$B$17, B390)=1, TRUE, FALSE))</f>
        <v/>
      </c>
      <c r="D390" s="5">
        <f>IF(A390="","", IF(C390, INDEX(Input!$C$11:$C$17, B390), 0))</f>
        <v/>
      </c>
      <c r="E390" s="5">
        <f>IF(A390="","", IF(C390, INDEX(Input!$D$11:$D$17, B390), 0))</f>
        <v/>
      </c>
      <c r="F390" s="4">
        <f>IF(A390="","", A390 - (B390-1))</f>
        <v/>
      </c>
      <c r="G390" s="4">
        <f>IF(A390="","", B390=7)</f>
        <v/>
      </c>
    </row>
    <row r="391">
      <c r="A391" s="4" t="n"/>
      <c r="B391" s="4">
        <f>IF(A391="","",WEEKDAY(A391,2))</f>
        <v/>
      </c>
      <c r="C391" s="4">
        <f>IF(A391="","",IF(INDEX(Input!$B$11:$B$17, B391)=1, TRUE, FALSE))</f>
        <v/>
      </c>
      <c r="D391" s="5">
        <f>IF(A391="","", IF(C391, INDEX(Input!$C$11:$C$17, B391), 0))</f>
        <v/>
      </c>
      <c r="E391" s="5">
        <f>IF(A391="","", IF(C391, INDEX(Input!$D$11:$D$17, B391), 0))</f>
        <v/>
      </c>
      <c r="F391" s="4">
        <f>IF(A391="","", A391 - (B391-1))</f>
        <v/>
      </c>
      <c r="G391" s="4">
        <f>IF(A391="","", B391=7)</f>
        <v/>
      </c>
    </row>
    <row r="392">
      <c r="A392" s="4" t="n"/>
      <c r="B392" s="4">
        <f>IF(A392="","",WEEKDAY(A392,2))</f>
        <v/>
      </c>
      <c r="C392" s="4">
        <f>IF(A392="","",IF(INDEX(Input!$B$11:$B$17, B392)=1, TRUE, FALSE))</f>
        <v/>
      </c>
      <c r="D392" s="5">
        <f>IF(A392="","", IF(C392, INDEX(Input!$C$11:$C$17, B392), 0))</f>
        <v/>
      </c>
      <c r="E392" s="5">
        <f>IF(A392="","", IF(C392, INDEX(Input!$D$11:$D$17, B392), 0))</f>
        <v/>
      </c>
      <c r="F392" s="4">
        <f>IF(A392="","", A392 - (B392-1))</f>
        <v/>
      </c>
      <c r="G392" s="4">
        <f>IF(A392="","", B392=7)</f>
        <v/>
      </c>
    </row>
    <row r="393">
      <c r="A393" s="4" t="n"/>
      <c r="B393" s="4">
        <f>IF(A393="","",WEEKDAY(A393,2))</f>
        <v/>
      </c>
      <c r="C393" s="4">
        <f>IF(A393="","",IF(INDEX(Input!$B$11:$B$17, B393)=1, TRUE, FALSE))</f>
        <v/>
      </c>
      <c r="D393" s="5">
        <f>IF(A393="","", IF(C393, INDEX(Input!$C$11:$C$17, B393), 0))</f>
        <v/>
      </c>
      <c r="E393" s="5">
        <f>IF(A393="","", IF(C393, INDEX(Input!$D$11:$D$17, B393), 0))</f>
        <v/>
      </c>
      <c r="F393" s="4">
        <f>IF(A393="","", A393 - (B393-1))</f>
        <v/>
      </c>
      <c r="G393" s="4">
        <f>IF(A393="","", B393=7)</f>
        <v/>
      </c>
    </row>
    <row r="394">
      <c r="A394" s="4" t="n"/>
      <c r="B394" s="4">
        <f>IF(A394="","",WEEKDAY(A394,2))</f>
        <v/>
      </c>
      <c r="C394" s="4">
        <f>IF(A394="","",IF(INDEX(Input!$B$11:$B$17, B394)=1, TRUE, FALSE))</f>
        <v/>
      </c>
      <c r="D394" s="5">
        <f>IF(A394="","", IF(C394, INDEX(Input!$C$11:$C$17, B394), 0))</f>
        <v/>
      </c>
      <c r="E394" s="5">
        <f>IF(A394="","", IF(C394, INDEX(Input!$D$11:$D$17, B394), 0))</f>
        <v/>
      </c>
      <c r="F394" s="4">
        <f>IF(A394="","", A394 - (B394-1))</f>
        <v/>
      </c>
      <c r="G394" s="4">
        <f>IF(A394="","", B394=7)</f>
        <v/>
      </c>
    </row>
    <row r="395">
      <c r="A395" s="4" t="n"/>
      <c r="B395" s="4">
        <f>IF(A395="","",WEEKDAY(A395,2))</f>
        <v/>
      </c>
      <c r="C395" s="4">
        <f>IF(A395="","",IF(INDEX(Input!$B$11:$B$17, B395)=1, TRUE, FALSE))</f>
        <v/>
      </c>
      <c r="D395" s="5">
        <f>IF(A395="","", IF(C395, INDEX(Input!$C$11:$C$17, B395), 0))</f>
        <v/>
      </c>
      <c r="E395" s="5">
        <f>IF(A395="","", IF(C395, INDEX(Input!$D$11:$D$17, B395), 0))</f>
        <v/>
      </c>
      <c r="F395" s="4">
        <f>IF(A395="","", A395 - (B395-1))</f>
        <v/>
      </c>
      <c r="G395" s="4">
        <f>IF(A395="","", B395=7)</f>
        <v/>
      </c>
    </row>
    <row r="396">
      <c r="A396" s="4" t="n"/>
      <c r="B396" s="4">
        <f>IF(A396="","",WEEKDAY(A396,2))</f>
        <v/>
      </c>
      <c r="C396" s="4">
        <f>IF(A396="","",IF(INDEX(Input!$B$11:$B$17, B396)=1, TRUE, FALSE))</f>
        <v/>
      </c>
      <c r="D396" s="5">
        <f>IF(A396="","", IF(C396, INDEX(Input!$C$11:$C$17, B396), 0))</f>
        <v/>
      </c>
      <c r="E396" s="5">
        <f>IF(A396="","", IF(C396, INDEX(Input!$D$11:$D$17, B396), 0))</f>
        <v/>
      </c>
      <c r="F396" s="4">
        <f>IF(A396="","", A396 - (B396-1))</f>
        <v/>
      </c>
      <c r="G396" s="4">
        <f>IF(A396="","", B396=7)</f>
        <v/>
      </c>
    </row>
    <row r="397">
      <c r="A397" s="4" t="n"/>
      <c r="B397" s="4">
        <f>IF(A397="","",WEEKDAY(A397,2))</f>
        <v/>
      </c>
      <c r="C397" s="4">
        <f>IF(A397="","",IF(INDEX(Input!$B$11:$B$17, B397)=1, TRUE, FALSE))</f>
        <v/>
      </c>
      <c r="D397" s="5">
        <f>IF(A397="","", IF(C397, INDEX(Input!$C$11:$C$17, B397), 0))</f>
        <v/>
      </c>
      <c r="E397" s="5">
        <f>IF(A397="","", IF(C397, INDEX(Input!$D$11:$D$17, B397), 0))</f>
        <v/>
      </c>
      <c r="F397" s="4">
        <f>IF(A397="","", A397 - (B397-1))</f>
        <v/>
      </c>
      <c r="G397" s="4">
        <f>IF(A397="","", B397=7)</f>
        <v/>
      </c>
    </row>
    <row r="398">
      <c r="A398" s="4" t="n"/>
      <c r="B398" s="4">
        <f>IF(A398="","",WEEKDAY(A398,2))</f>
        <v/>
      </c>
      <c r="C398" s="4">
        <f>IF(A398="","",IF(INDEX(Input!$B$11:$B$17, B398)=1, TRUE, FALSE))</f>
        <v/>
      </c>
      <c r="D398" s="5">
        <f>IF(A398="","", IF(C398, INDEX(Input!$C$11:$C$17, B398), 0))</f>
        <v/>
      </c>
      <c r="E398" s="5">
        <f>IF(A398="","", IF(C398, INDEX(Input!$D$11:$D$17, B398), 0))</f>
        <v/>
      </c>
      <c r="F398" s="4">
        <f>IF(A398="","", A398 - (B398-1))</f>
        <v/>
      </c>
      <c r="G398" s="4">
        <f>IF(A398="","", B398=7)</f>
        <v/>
      </c>
    </row>
    <row r="399">
      <c r="A399" s="4" t="n"/>
      <c r="B399" s="4">
        <f>IF(A399="","",WEEKDAY(A399,2))</f>
        <v/>
      </c>
      <c r="C399" s="4">
        <f>IF(A399="","",IF(INDEX(Input!$B$11:$B$17, B399)=1, TRUE, FALSE))</f>
        <v/>
      </c>
      <c r="D399" s="5">
        <f>IF(A399="","", IF(C399, INDEX(Input!$C$11:$C$17, B399), 0))</f>
        <v/>
      </c>
      <c r="E399" s="5">
        <f>IF(A399="","", IF(C399, INDEX(Input!$D$11:$D$17, B399), 0))</f>
        <v/>
      </c>
      <c r="F399" s="4">
        <f>IF(A399="","", A399 - (B399-1))</f>
        <v/>
      </c>
      <c r="G399" s="4">
        <f>IF(A399="","", B399=7)</f>
        <v/>
      </c>
    </row>
    <row r="400">
      <c r="A400" s="4" t="n"/>
      <c r="B400" s="4">
        <f>IF(A400="","",WEEKDAY(A400,2))</f>
        <v/>
      </c>
      <c r="C400" s="4">
        <f>IF(A400="","",IF(INDEX(Input!$B$11:$B$17, B400)=1, TRUE, FALSE))</f>
        <v/>
      </c>
      <c r="D400" s="5">
        <f>IF(A400="","", IF(C400, INDEX(Input!$C$11:$C$17, B400), 0))</f>
        <v/>
      </c>
      <c r="E400" s="5">
        <f>IF(A400="","", IF(C400, INDEX(Input!$D$11:$D$17, B400), 0))</f>
        <v/>
      </c>
      <c r="F400" s="4">
        <f>IF(A400="","", A400 - (B400-1))</f>
        <v/>
      </c>
      <c r="G400" s="4">
        <f>IF(A400="","", B400=7)</f>
        <v/>
      </c>
    </row>
    <row r="401">
      <c r="A401" s="4" t="n"/>
      <c r="B401" s="4">
        <f>IF(A401="","",WEEKDAY(A401,2))</f>
        <v/>
      </c>
      <c r="C401" s="4">
        <f>IF(A401="","",IF(INDEX(Input!$B$11:$B$17, B401)=1, TRUE, FALSE))</f>
        <v/>
      </c>
      <c r="D401" s="5">
        <f>IF(A401="","", IF(C401, INDEX(Input!$C$11:$C$17, B401), 0))</f>
        <v/>
      </c>
      <c r="E401" s="5">
        <f>IF(A401="","", IF(C401, INDEX(Input!$D$11:$D$17, B401), 0))</f>
        <v/>
      </c>
      <c r="F401" s="4">
        <f>IF(A401="","", A401 - (B401-1))</f>
        <v/>
      </c>
      <c r="G401" s="4">
        <f>IF(A401="","", B401=7)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</cols>
  <sheetData>
    <row r="1">
      <c r="A1" s="1" t="inlineStr">
        <is>
          <t>요약</t>
        </is>
      </c>
    </row>
    <row r="3">
      <c r="A3" s="2" t="inlineStr">
        <is>
          <t>시작일</t>
        </is>
      </c>
      <c r="B3">
        <f>Input!B3</f>
        <v/>
      </c>
      <c r="D3" s="3" t="inlineStr">
        <is>
          <t>주차(월요일)</t>
        </is>
      </c>
      <c r="E3" s="3" t="inlineStr">
        <is>
          <t>주간 유급시간</t>
        </is>
      </c>
      <c r="F3" s="3" t="inlineStr">
        <is>
          <t>실근로일수</t>
        </is>
      </c>
      <c r="G3" s="3" t="inlineStr">
        <is>
          <t>해당주 일요일 존재</t>
        </is>
      </c>
      <c r="H3" s="3" t="inlineStr">
        <is>
          <t>다음주 근로 존재</t>
        </is>
      </c>
      <c r="I3" s="3" t="inlineStr">
        <is>
          <t>주휴수당(그 주)</t>
        </is>
      </c>
    </row>
    <row r="4">
      <c r="A4" s="2" t="inlineStr">
        <is>
          <t>종료일</t>
        </is>
      </c>
      <c r="B4">
        <f>Input!B4</f>
        <v/>
      </c>
      <c r="D4" s="4">
        <f>UNIQUE(FILTER(Calendar!F2:F500, Calendar!A2:A500&lt;&gt;""))</f>
        <v/>
      </c>
      <c r="E4" s="5">
        <f>IF(D4="", "", SUMIFS(Calendar!$E:$E, Calendar!$F:$F, D4))</f>
        <v/>
      </c>
      <c r="F4" s="5">
        <f>IF(D4="", "", COUNTIFS(Calendar!$F:$F, D4, Calendar!$E:$E, "&gt;0"))</f>
        <v/>
      </c>
      <c r="G4" s="4">
        <f>IF(D4="", "", COUNTIFS(Calendar!$F:$F, D4, Calendar!$B:$B, 7)&gt;0)</f>
        <v/>
      </c>
      <c r="H4" s="4">
        <f>IF(D4="", "", COUNTIFS(Calendar!$F:$F, D4+7, Calendar!$E:$E, "&gt;0")&gt;0)</f>
        <v/>
      </c>
      <c r="I4" s="5">
        <f>IF(D4="", "", IF(E4&gt;=15, IF(AND(H4, G4, F4&gt;0), (E4/F4)*$B$5, 0), 0))</f>
        <v/>
      </c>
    </row>
    <row r="5">
      <c r="A5" s="2" t="inlineStr">
        <is>
          <t>시급(원)</t>
        </is>
      </c>
      <c r="B5">
        <f>Input!B5</f>
        <v/>
      </c>
      <c r="D5" s="4" t="n"/>
      <c r="E5" s="5">
        <f>IF(D5="", "", SUMIFS(Calendar!$E:$E, Calendar!$F:$F, D5))</f>
        <v/>
      </c>
      <c r="F5" s="5">
        <f>IF(D5="", "", COUNTIFS(Calendar!$F:$F, D5, Calendar!$E:$E, "&gt;0"))</f>
        <v/>
      </c>
      <c r="G5" s="4">
        <f>IF(D5="", "", COUNTIFS(Calendar!$F:$F, D5, Calendar!$B:$B, 7)&gt;0)</f>
        <v/>
      </c>
      <c r="H5" s="4">
        <f>IF(D5="", "", COUNTIFS(Calendar!$F:$F, D5+7, Calendar!$E:$E, "&gt;0")&gt;0)</f>
        <v/>
      </c>
      <c r="I5" s="5">
        <f>IF(D5="", "", IF(E5&gt;=15, IF(AND(H5, G5, F5&gt;0), (E5/F5)*$B$5, 0), 0))</f>
        <v/>
      </c>
    </row>
    <row r="6">
      <c r="A6" s="2" t="inlineStr">
        <is>
          <t>휴게시간(분)</t>
        </is>
      </c>
      <c r="B6">
        <f>Input!B6</f>
        <v/>
      </c>
      <c r="D6" s="4" t="n"/>
      <c r="E6" s="5">
        <f>IF(D6="", "", SUMIFS(Calendar!$E:$E, Calendar!$F:$F, D6))</f>
        <v/>
      </c>
      <c r="F6" s="5">
        <f>IF(D6="", "", COUNTIFS(Calendar!$F:$F, D6, Calendar!$E:$E, "&gt;0"))</f>
        <v/>
      </c>
      <c r="G6" s="4">
        <f>IF(D6="", "", COUNTIFS(Calendar!$F:$F, D6, Calendar!$B:$B, 7)&gt;0)</f>
        <v/>
      </c>
      <c r="H6" s="4">
        <f>IF(D6="", "", COUNTIFS(Calendar!$F:$F, D6+7, Calendar!$E:$E, "&gt;0")&gt;0)</f>
        <v/>
      </c>
      <c r="I6" s="5">
        <f>IF(D6="", "", IF(E6&gt;=15, IF(AND(H6, G6, F6&gt;0), (E6/F6)*$B$5, 0), 0))</f>
        <v/>
      </c>
    </row>
    <row r="7">
      <c r="A7" s="2" t="inlineStr">
        <is>
          <t>휴게시간 차감 적용</t>
        </is>
      </c>
      <c r="B7">
        <f>Input!B7</f>
        <v/>
      </c>
      <c r="D7" s="4" t="n"/>
      <c r="E7" s="5">
        <f>IF(D7="", "", SUMIFS(Calendar!$E:$E, Calendar!$F:$F, D7))</f>
        <v/>
      </c>
      <c r="F7" s="5">
        <f>IF(D7="", "", COUNTIFS(Calendar!$F:$F, D7, Calendar!$E:$E, "&gt;0"))</f>
        <v/>
      </c>
      <c r="G7" s="4">
        <f>IF(D7="", "", COUNTIFS(Calendar!$F:$F, D7, Calendar!$B:$B, 7)&gt;0)</f>
        <v/>
      </c>
      <c r="H7" s="4">
        <f>IF(D7="", "", COUNTIFS(Calendar!$F:$F, D7+7, Calendar!$E:$E, "&gt;0")&gt;0)</f>
        <v/>
      </c>
      <c r="I7" s="5">
        <f>IF(D7="", "", IF(E7&gt;=15, IF(AND(H7, G7, F7&gt;0), (E7/F7)*$B$5, 0), 0))</f>
        <v/>
      </c>
    </row>
    <row r="8">
      <c r="A8" s="2" t="inlineStr">
        <is>
          <t>예산 잔액(원)</t>
        </is>
      </c>
      <c r="B8">
        <f>Input!B8</f>
        <v/>
      </c>
      <c r="D8" s="4" t="n"/>
      <c r="E8" s="5">
        <f>IF(D8="", "", SUMIFS(Calendar!$E:$E, Calendar!$F:$F, D8))</f>
        <v/>
      </c>
      <c r="F8" s="5">
        <f>IF(D8="", "", COUNTIFS(Calendar!$F:$F, D8, Calendar!$E:$E, "&gt;0"))</f>
        <v/>
      </c>
      <c r="G8" s="4">
        <f>IF(D8="", "", COUNTIFS(Calendar!$F:$F, D8, Calendar!$B:$B, 7)&gt;0)</f>
        <v/>
      </c>
      <c r="H8" s="4">
        <f>IF(D8="", "", COUNTIFS(Calendar!$F:$F, D8+7, Calendar!$E:$E, "&gt;0")&gt;0)</f>
        <v/>
      </c>
      <c r="I8" s="5">
        <f>IF(D8="", "", IF(E8&gt;=15, IF(AND(H8, G8, F8&gt;0), (E8/F8)*$B$5, 0), 0))</f>
        <v/>
      </c>
    </row>
    <row r="9">
      <c r="A9" s="2" t="inlineStr">
        <is>
          <t>주 소정 근무시간(휴게 전)</t>
        </is>
      </c>
      <c r="B9">
        <f>Input!G11</f>
        <v/>
      </c>
      <c r="D9" s="4" t="n"/>
      <c r="E9" s="5">
        <f>IF(D9="", "", SUMIFS(Calendar!$E:$E, Calendar!$F:$F, D9))</f>
        <v/>
      </c>
      <c r="F9" s="5">
        <f>IF(D9="", "", COUNTIFS(Calendar!$F:$F, D9, Calendar!$E:$E, "&gt;0"))</f>
        <v/>
      </c>
      <c r="G9" s="4">
        <f>IF(D9="", "", COUNTIFS(Calendar!$F:$F, D9, Calendar!$B:$B, 7)&gt;0)</f>
        <v/>
      </c>
      <c r="H9" s="4">
        <f>IF(D9="", "", COUNTIFS(Calendar!$F:$F, D9+7, Calendar!$E:$E, "&gt;0")&gt;0)</f>
        <v/>
      </c>
      <c r="I9" s="5">
        <f>IF(D9="", "", IF(E9&gt;=15, IF(AND(H9, G9, F9&gt;0), (E9/F9)*$B$5, 0), 0))</f>
        <v/>
      </c>
    </row>
    <row r="10">
      <c r="A10" s="2" t="inlineStr">
        <is>
          <t>주 소정 근무시간(유급 기준)</t>
        </is>
      </c>
      <c r="B10">
        <f>Input!G12</f>
        <v/>
      </c>
      <c r="D10" s="4" t="n"/>
      <c r="E10" s="5">
        <f>IF(D10="", "", SUMIFS(Calendar!$E:$E, Calendar!$F:$F, D10))</f>
        <v/>
      </c>
      <c r="F10" s="5">
        <f>IF(D10="", "", COUNTIFS(Calendar!$F:$F, D10, Calendar!$E:$E, "&gt;0"))</f>
        <v/>
      </c>
      <c r="G10" s="4">
        <f>IF(D10="", "", COUNTIFS(Calendar!$F:$F, D10, Calendar!$B:$B, 7)&gt;0)</f>
        <v/>
      </c>
      <c r="H10" s="4">
        <f>IF(D10="", "", COUNTIFS(Calendar!$F:$F, D10+7, Calendar!$E:$E, "&gt;0")&gt;0)</f>
        <v/>
      </c>
      <c r="I10" s="5">
        <f>IF(D10="", "", IF(E10&gt;=15, IF(AND(H10, G10, F10&gt;0), (E10/F10)*$B$5, 0), 0))</f>
        <v/>
      </c>
    </row>
    <row r="11">
      <c r="D11" s="4" t="n"/>
      <c r="E11" s="5">
        <f>IF(D11="", "", SUMIFS(Calendar!$E:$E, Calendar!$F:$F, D11))</f>
        <v/>
      </c>
      <c r="F11" s="5">
        <f>IF(D11="", "", COUNTIFS(Calendar!$F:$F, D11, Calendar!$E:$E, "&gt;0"))</f>
        <v/>
      </c>
      <c r="G11" s="4">
        <f>IF(D11="", "", COUNTIFS(Calendar!$F:$F, D11, Calendar!$B:$B, 7)&gt;0)</f>
        <v/>
      </c>
      <c r="H11" s="4">
        <f>IF(D11="", "", COUNTIFS(Calendar!$F:$F, D11+7, Calendar!$E:$E, "&gt;0")&gt;0)</f>
        <v/>
      </c>
      <c r="I11" s="5">
        <f>IF(D11="", "", IF(E11&gt;=15, IF(AND(H11, G11, F11&gt;0), (E11/F11)*$B$5, 0), 0))</f>
        <v/>
      </c>
    </row>
    <row r="12">
      <c r="D12" s="4" t="n"/>
      <c r="E12" s="5">
        <f>IF(D12="", "", SUMIFS(Calendar!$E:$E, Calendar!$F:$F, D12))</f>
        <v/>
      </c>
      <c r="F12" s="5">
        <f>IF(D12="", "", COUNTIFS(Calendar!$F:$F, D12, Calendar!$E:$E, "&gt;0"))</f>
        <v/>
      </c>
      <c r="G12" s="4">
        <f>IF(D12="", "", COUNTIFS(Calendar!$F:$F, D12, Calendar!$B:$B, 7)&gt;0)</f>
        <v/>
      </c>
      <c r="H12" s="4">
        <f>IF(D12="", "", COUNTIFS(Calendar!$F:$F, D12+7, Calendar!$E:$E, "&gt;0")&gt;0)</f>
        <v/>
      </c>
      <c r="I12" s="5">
        <f>IF(D12="", "", IF(E12&gt;=15, IF(AND(H12, G12, F12&gt;0), (E12/F12)*$B$5, 0), 0))</f>
        <v/>
      </c>
    </row>
    <row r="13">
      <c r="A13" s="2" t="inlineStr">
        <is>
          <t>총 유급시간(기간 합계)</t>
        </is>
      </c>
      <c r="B13" s="6">
        <f>SUM(Calendar!E2:E500)</f>
        <v/>
      </c>
      <c r="D13" s="4" t="n"/>
      <c r="E13" s="5">
        <f>IF(D13="", "", SUMIFS(Calendar!$E:$E, Calendar!$F:$F, D13))</f>
        <v/>
      </c>
      <c r="F13" s="5">
        <f>IF(D13="", "", COUNTIFS(Calendar!$F:$F, D13, Calendar!$E:$E, "&gt;0"))</f>
        <v/>
      </c>
      <c r="G13" s="4">
        <f>IF(D13="", "", COUNTIFS(Calendar!$F:$F, D13, Calendar!$B:$B, 7)&gt;0)</f>
        <v/>
      </c>
      <c r="H13" s="4">
        <f>IF(D13="", "", COUNTIFS(Calendar!$F:$F, D13+7, Calendar!$E:$E, "&gt;0")&gt;0)</f>
        <v/>
      </c>
      <c r="I13" s="5">
        <f>IF(D13="", "", IF(E13&gt;=15, IF(AND(H13, G13, F13&gt;0), (E13/F13)*$B$5, 0), 0))</f>
        <v/>
      </c>
    </row>
    <row r="14">
      <c r="A14" s="2" t="inlineStr">
        <is>
          <t>기본급(십원 절삭)</t>
        </is>
      </c>
      <c r="B14" s="8">
        <f>FLOOR(B13 * B5, 10)</f>
        <v/>
      </c>
      <c r="D14" s="4" t="n"/>
      <c r="E14" s="5">
        <f>IF(D14="", "", SUMIFS(Calendar!$E:$E, Calendar!$F:$F, D14))</f>
        <v/>
      </c>
      <c r="F14" s="5">
        <f>IF(D14="", "", COUNTIFS(Calendar!$F:$F, D14, Calendar!$E:$E, "&gt;0"))</f>
        <v/>
      </c>
      <c r="G14" s="4">
        <f>IF(D14="", "", COUNTIFS(Calendar!$F:$F, D14, Calendar!$B:$B, 7)&gt;0)</f>
        <v/>
      </c>
      <c r="H14" s="4">
        <f>IF(D14="", "", COUNTIFS(Calendar!$F:$F, D14+7, Calendar!$E:$E, "&gt;0")&gt;0)</f>
        <v/>
      </c>
      <c r="I14" s="5">
        <f>IF(D14="", "", IF(E14&gt;=15, IF(AND(H14, G14, F14&gt;0), (E14/F14)*$B$5, 0), 0))</f>
        <v/>
      </c>
    </row>
    <row r="15">
      <c r="D15" s="4" t="n"/>
      <c r="E15" s="5">
        <f>IF(D15="", "", SUMIFS(Calendar!$E:$E, Calendar!$F:$F, D15))</f>
        <v/>
      </c>
      <c r="F15" s="5">
        <f>IF(D15="", "", COUNTIFS(Calendar!$F:$F, D15, Calendar!$E:$E, "&gt;0"))</f>
        <v/>
      </c>
      <c r="G15" s="4">
        <f>IF(D15="", "", COUNTIFS(Calendar!$F:$F, D15, Calendar!$B:$B, 7)&gt;0)</f>
        <v/>
      </c>
      <c r="H15" s="4">
        <f>IF(D15="", "", COUNTIFS(Calendar!$F:$F, D15+7, Calendar!$E:$E, "&gt;0")&gt;0)</f>
        <v/>
      </c>
      <c r="I15" s="5">
        <f>IF(D15="", "", IF(E15&gt;=15, IF(AND(H15, G15, F15&gt;0), (E15/F15)*$B$5, 0), 0))</f>
        <v/>
      </c>
    </row>
    <row r="16">
      <c r="A16" s="2" t="inlineStr">
        <is>
          <t>주휴수당 합계(십원 절삭)</t>
        </is>
      </c>
      <c r="B16" s="8">
        <f>FLOOR(SUM(I4:I83), 10)</f>
        <v/>
      </c>
      <c r="D16" s="4" t="n"/>
      <c r="E16" s="5">
        <f>IF(D16="", "", SUMIFS(Calendar!$E:$E, Calendar!$F:$F, D16))</f>
        <v/>
      </c>
      <c r="F16" s="5">
        <f>IF(D16="", "", COUNTIFS(Calendar!$F:$F, D16, Calendar!$E:$E, "&gt;0"))</f>
        <v/>
      </c>
      <c r="G16" s="4">
        <f>IF(D16="", "", COUNTIFS(Calendar!$F:$F, D16, Calendar!$B:$B, 7)&gt;0)</f>
        <v/>
      </c>
      <c r="H16" s="4">
        <f>IF(D16="", "", COUNTIFS(Calendar!$F:$F, D16+7, Calendar!$E:$E, "&gt;0")&gt;0)</f>
        <v/>
      </c>
      <c r="I16" s="5">
        <f>IF(D16="", "", IF(E16&gt;=15, IF(AND(H16, G16, F16&gt;0), (E16/F16)*$B$5, 0), 0))</f>
        <v/>
      </c>
    </row>
    <row r="17">
      <c r="D17" s="4" t="n"/>
      <c r="E17" s="5">
        <f>IF(D17="", "", SUMIFS(Calendar!$E:$E, Calendar!$F:$F, D17))</f>
        <v/>
      </c>
      <c r="F17" s="5">
        <f>IF(D17="", "", COUNTIFS(Calendar!$F:$F, D17, Calendar!$E:$E, "&gt;0"))</f>
        <v/>
      </c>
      <c r="G17" s="4">
        <f>IF(D17="", "", COUNTIFS(Calendar!$F:$F, D17, Calendar!$B:$B, 7)&gt;0)</f>
        <v/>
      </c>
      <c r="H17" s="4">
        <f>IF(D17="", "", COUNTIFS(Calendar!$F:$F, D17+7, Calendar!$E:$E, "&gt;0")&gt;0)</f>
        <v/>
      </c>
      <c r="I17" s="5">
        <f>IF(D17="", "", IF(E17&gt;=15, IF(AND(H17, G17, F17&gt;0), (E17/F17)*$B$5, 0), 0))</f>
        <v/>
      </c>
    </row>
    <row r="18">
      <c r="A18" s="2" t="inlineStr">
        <is>
          <t>총 지급액</t>
        </is>
      </c>
      <c r="B18" s="8">
        <f>B14 + B16</f>
        <v/>
      </c>
      <c r="D18" s="4" t="n"/>
      <c r="E18" s="5">
        <f>IF(D18="", "", SUMIFS(Calendar!$E:$E, Calendar!$F:$F, D18))</f>
        <v/>
      </c>
      <c r="F18" s="5">
        <f>IF(D18="", "", COUNTIFS(Calendar!$F:$F, D18, Calendar!$E:$E, "&gt;0"))</f>
        <v/>
      </c>
      <c r="G18" s="4">
        <f>IF(D18="", "", COUNTIFS(Calendar!$F:$F, D18, Calendar!$B:$B, 7)&gt;0)</f>
        <v/>
      </c>
      <c r="H18" s="4">
        <f>IF(D18="", "", COUNTIFS(Calendar!$F:$F, D18+7, Calendar!$E:$E, "&gt;0")&gt;0)</f>
        <v/>
      </c>
      <c r="I18" s="5">
        <f>IF(D18="", "", IF(E18&gt;=15, IF(AND(H18, G18, F18&gt;0), (E18/F18)*$B$5, 0), 0))</f>
        <v/>
      </c>
    </row>
    <row r="19">
      <c r="A19" s="2" t="inlineStr">
        <is>
          <t>예산 잔액</t>
        </is>
      </c>
      <c r="B19" s="8">
        <f>B6 - B18</f>
        <v/>
      </c>
      <c r="D19" s="4" t="n"/>
      <c r="E19" s="5">
        <f>IF(D19="", "", SUMIFS(Calendar!$E:$E, Calendar!$F:$F, D19))</f>
        <v/>
      </c>
      <c r="F19" s="5">
        <f>IF(D19="", "", COUNTIFS(Calendar!$F:$F, D19, Calendar!$E:$E, "&gt;0"))</f>
        <v/>
      </c>
      <c r="G19" s="4">
        <f>IF(D19="", "", COUNTIFS(Calendar!$F:$F, D19, Calendar!$B:$B, 7)&gt;0)</f>
        <v/>
      </c>
      <c r="H19" s="4">
        <f>IF(D19="", "", COUNTIFS(Calendar!$F:$F, D19+7, Calendar!$E:$E, "&gt;0")&gt;0)</f>
        <v/>
      </c>
      <c r="I19" s="5">
        <f>IF(D19="", "", IF(E19&gt;=15, IF(AND(H19, G19, F19&gt;0), (E19/F19)*$B$5, 0), 0))</f>
        <v/>
      </c>
    </row>
    <row r="20">
      <c r="D20" s="4" t="n"/>
      <c r="E20" s="5">
        <f>IF(D20="", "", SUMIFS(Calendar!$E:$E, Calendar!$F:$F, D20))</f>
        <v/>
      </c>
      <c r="F20" s="5">
        <f>IF(D20="", "", COUNTIFS(Calendar!$F:$F, D20, Calendar!$E:$E, "&gt;0"))</f>
        <v/>
      </c>
      <c r="G20" s="4">
        <f>IF(D20="", "", COUNTIFS(Calendar!$F:$F, D20, Calendar!$B:$B, 7)&gt;0)</f>
        <v/>
      </c>
      <c r="H20" s="4">
        <f>IF(D20="", "", COUNTIFS(Calendar!$F:$F, D20+7, Calendar!$E:$E, "&gt;0")&gt;0)</f>
        <v/>
      </c>
      <c r="I20" s="5">
        <f>IF(D20="", "", IF(E20&gt;=15, IF(AND(H20, G20, F20&gt;0), (E20/F20)*$B$5, 0), 0))</f>
        <v/>
      </c>
    </row>
    <row r="21">
      <c r="D21" s="4" t="n"/>
      <c r="E21" s="5">
        <f>IF(D21="", "", SUMIFS(Calendar!$E:$E, Calendar!$F:$F, D21))</f>
        <v/>
      </c>
      <c r="F21" s="5">
        <f>IF(D21="", "", COUNTIFS(Calendar!$F:$F, D21, Calendar!$E:$E, "&gt;0"))</f>
        <v/>
      </c>
      <c r="G21" s="4">
        <f>IF(D21="", "", COUNTIFS(Calendar!$F:$F, D21, Calendar!$B:$B, 7)&gt;0)</f>
        <v/>
      </c>
      <c r="H21" s="4">
        <f>IF(D21="", "", COUNTIFS(Calendar!$F:$F, D21+7, Calendar!$E:$E, "&gt;0")&gt;0)</f>
        <v/>
      </c>
      <c r="I21" s="5">
        <f>IF(D21="", "", IF(E21&gt;=15, IF(AND(H21, G21, F21&gt;0), (E21/F21)*$B$5, 0), 0))</f>
        <v/>
      </c>
    </row>
    <row r="22">
      <c r="D22" s="4" t="n"/>
      <c r="E22" s="5">
        <f>IF(D22="", "", SUMIFS(Calendar!$E:$E, Calendar!$F:$F, D22))</f>
        <v/>
      </c>
      <c r="F22" s="5">
        <f>IF(D22="", "", COUNTIFS(Calendar!$F:$F, D22, Calendar!$E:$E, "&gt;0"))</f>
        <v/>
      </c>
      <c r="G22" s="4">
        <f>IF(D22="", "", COUNTIFS(Calendar!$F:$F, D22, Calendar!$B:$B, 7)&gt;0)</f>
        <v/>
      </c>
      <c r="H22" s="4">
        <f>IF(D22="", "", COUNTIFS(Calendar!$F:$F, D22+7, Calendar!$E:$E, "&gt;0")&gt;0)</f>
        <v/>
      </c>
      <c r="I22" s="5">
        <f>IF(D22="", "", IF(E22&gt;=15, IF(AND(H22, G22, F22&gt;0), (E22/F22)*$B$5, 0), 0))</f>
        <v/>
      </c>
    </row>
    <row r="23">
      <c r="D23" s="4" t="n"/>
      <c r="E23" s="5">
        <f>IF(D23="", "", SUMIFS(Calendar!$E:$E, Calendar!$F:$F, D23))</f>
        <v/>
      </c>
      <c r="F23" s="5">
        <f>IF(D23="", "", COUNTIFS(Calendar!$F:$F, D23, Calendar!$E:$E, "&gt;0"))</f>
        <v/>
      </c>
      <c r="G23" s="4">
        <f>IF(D23="", "", COUNTIFS(Calendar!$F:$F, D23, Calendar!$B:$B, 7)&gt;0)</f>
        <v/>
      </c>
      <c r="H23" s="4">
        <f>IF(D23="", "", COUNTIFS(Calendar!$F:$F, D23+7, Calendar!$E:$E, "&gt;0")&gt;0)</f>
        <v/>
      </c>
      <c r="I23" s="5">
        <f>IF(D23="", "", IF(E23&gt;=15, IF(AND(H23, G23, F23&gt;0), (E23/F23)*$B$5, 0), 0))</f>
        <v/>
      </c>
    </row>
    <row r="24">
      <c r="D24" s="4" t="n"/>
      <c r="E24" s="5">
        <f>IF(D24="", "", SUMIFS(Calendar!$E:$E, Calendar!$F:$F, D24))</f>
        <v/>
      </c>
      <c r="F24" s="5">
        <f>IF(D24="", "", COUNTIFS(Calendar!$F:$F, D24, Calendar!$E:$E, "&gt;0"))</f>
        <v/>
      </c>
      <c r="G24" s="4">
        <f>IF(D24="", "", COUNTIFS(Calendar!$F:$F, D24, Calendar!$B:$B, 7)&gt;0)</f>
        <v/>
      </c>
      <c r="H24" s="4">
        <f>IF(D24="", "", COUNTIFS(Calendar!$F:$F, D24+7, Calendar!$E:$E, "&gt;0")&gt;0)</f>
        <v/>
      </c>
      <c r="I24" s="5">
        <f>IF(D24="", "", IF(E24&gt;=15, IF(AND(H24, G24, F24&gt;0), (E24/F24)*$B$5, 0), 0))</f>
        <v/>
      </c>
    </row>
    <row r="25">
      <c r="D25" s="4" t="n"/>
      <c r="E25" s="5">
        <f>IF(D25="", "", SUMIFS(Calendar!$E:$E, Calendar!$F:$F, D25))</f>
        <v/>
      </c>
      <c r="F25" s="5">
        <f>IF(D25="", "", COUNTIFS(Calendar!$F:$F, D25, Calendar!$E:$E, "&gt;0"))</f>
        <v/>
      </c>
      <c r="G25" s="4">
        <f>IF(D25="", "", COUNTIFS(Calendar!$F:$F, D25, Calendar!$B:$B, 7)&gt;0)</f>
        <v/>
      </c>
      <c r="H25" s="4">
        <f>IF(D25="", "", COUNTIFS(Calendar!$F:$F, D25+7, Calendar!$E:$E, "&gt;0")&gt;0)</f>
        <v/>
      </c>
      <c r="I25" s="5">
        <f>IF(D25="", "", IF(E25&gt;=15, IF(AND(H25, G25, F25&gt;0), (E25/F25)*$B$5, 0), 0))</f>
        <v/>
      </c>
    </row>
    <row r="26">
      <c r="D26" s="4" t="n"/>
      <c r="E26" s="5">
        <f>IF(D26="", "", SUMIFS(Calendar!$E:$E, Calendar!$F:$F, D26))</f>
        <v/>
      </c>
      <c r="F26" s="5">
        <f>IF(D26="", "", COUNTIFS(Calendar!$F:$F, D26, Calendar!$E:$E, "&gt;0"))</f>
        <v/>
      </c>
      <c r="G26" s="4">
        <f>IF(D26="", "", COUNTIFS(Calendar!$F:$F, D26, Calendar!$B:$B, 7)&gt;0)</f>
        <v/>
      </c>
      <c r="H26" s="4">
        <f>IF(D26="", "", COUNTIFS(Calendar!$F:$F, D26+7, Calendar!$E:$E, "&gt;0")&gt;0)</f>
        <v/>
      </c>
      <c r="I26" s="5">
        <f>IF(D26="", "", IF(E26&gt;=15, IF(AND(H26, G26, F26&gt;0), (E26/F26)*$B$5, 0), 0))</f>
        <v/>
      </c>
    </row>
    <row r="27">
      <c r="D27" s="4" t="n"/>
      <c r="E27" s="5">
        <f>IF(D27="", "", SUMIFS(Calendar!$E:$E, Calendar!$F:$F, D27))</f>
        <v/>
      </c>
      <c r="F27" s="5">
        <f>IF(D27="", "", COUNTIFS(Calendar!$F:$F, D27, Calendar!$E:$E, "&gt;0"))</f>
        <v/>
      </c>
      <c r="G27" s="4">
        <f>IF(D27="", "", COUNTIFS(Calendar!$F:$F, D27, Calendar!$B:$B, 7)&gt;0)</f>
        <v/>
      </c>
      <c r="H27" s="4">
        <f>IF(D27="", "", COUNTIFS(Calendar!$F:$F, D27+7, Calendar!$E:$E, "&gt;0")&gt;0)</f>
        <v/>
      </c>
      <c r="I27" s="5">
        <f>IF(D27="", "", IF(E27&gt;=15, IF(AND(H27, G27, F27&gt;0), (E27/F27)*$B$5, 0), 0))</f>
        <v/>
      </c>
    </row>
    <row r="28">
      <c r="D28" s="4" t="n"/>
      <c r="E28" s="5">
        <f>IF(D28="", "", SUMIFS(Calendar!$E:$E, Calendar!$F:$F, D28))</f>
        <v/>
      </c>
      <c r="F28" s="5">
        <f>IF(D28="", "", COUNTIFS(Calendar!$F:$F, D28, Calendar!$E:$E, "&gt;0"))</f>
        <v/>
      </c>
      <c r="G28" s="4">
        <f>IF(D28="", "", COUNTIFS(Calendar!$F:$F, D28, Calendar!$B:$B, 7)&gt;0)</f>
        <v/>
      </c>
      <c r="H28" s="4">
        <f>IF(D28="", "", COUNTIFS(Calendar!$F:$F, D28+7, Calendar!$E:$E, "&gt;0")&gt;0)</f>
        <v/>
      </c>
      <c r="I28" s="5">
        <f>IF(D28="", "", IF(E28&gt;=15, IF(AND(H28, G28, F28&gt;0), (E28/F28)*$B$5, 0), 0))</f>
        <v/>
      </c>
    </row>
    <row r="29">
      <c r="D29" s="4" t="n"/>
      <c r="E29" s="5">
        <f>IF(D29="", "", SUMIFS(Calendar!$E:$E, Calendar!$F:$F, D29))</f>
        <v/>
      </c>
      <c r="F29" s="5">
        <f>IF(D29="", "", COUNTIFS(Calendar!$F:$F, D29, Calendar!$E:$E, "&gt;0"))</f>
        <v/>
      </c>
      <c r="G29" s="4">
        <f>IF(D29="", "", COUNTIFS(Calendar!$F:$F, D29, Calendar!$B:$B, 7)&gt;0)</f>
        <v/>
      </c>
      <c r="H29" s="4">
        <f>IF(D29="", "", COUNTIFS(Calendar!$F:$F, D29+7, Calendar!$E:$E, "&gt;0")&gt;0)</f>
        <v/>
      </c>
      <c r="I29" s="5">
        <f>IF(D29="", "", IF(E29&gt;=15, IF(AND(H29, G29, F29&gt;0), (E29/F29)*$B$5, 0), 0))</f>
        <v/>
      </c>
    </row>
    <row r="30">
      <c r="D30" s="4" t="n"/>
      <c r="E30" s="5">
        <f>IF(D30="", "", SUMIFS(Calendar!$E:$E, Calendar!$F:$F, D30))</f>
        <v/>
      </c>
      <c r="F30" s="5">
        <f>IF(D30="", "", COUNTIFS(Calendar!$F:$F, D30, Calendar!$E:$E, "&gt;0"))</f>
        <v/>
      </c>
      <c r="G30" s="4">
        <f>IF(D30="", "", COUNTIFS(Calendar!$F:$F, D30, Calendar!$B:$B, 7)&gt;0)</f>
        <v/>
      </c>
      <c r="H30" s="4">
        <f>IF(D30="", "", COUNTIFS(Calendar!$F:$F, D30+7, Calendar!$E:$E, "&gt;0")&gt;0)</f>
        <v/>
      </c>
      <c r="I30" s="5">
        <f>IF(D30="", "", IF(E30&gt;=15, IF(AND(H30, G30, F30&gt;0), (E30/F30)*$B$5, 0), 0))</f>
        <v/>
      </c>
    </row>
    <row r="31">
      <c r="D31" s="4" t="n"/>
      <c r="E31" s="5">
        <f>IF(D31="", "", SUMIFS(Calendar!$E:$E, Calendar!$F:$F, D31))</f>
        <v/>
      </c>
      <c r="F31" s="5">
        <f>IF(D31="", "", COUNTIFS(Calendar!$F:$F, D31, Calendar!$E:$E, "&gt;0"))</f>
        <v/>
      </c>
      <c r="G31" s="4">
        <f>IF(D31="", "", COUNTIFS(Calendar!$F:$F, D31, Calendar!$B:$B, 7)&gt;0)</f>
        <v/>
      </c>
      <c r="H31" s="4">
        <f>IF(D31="", "", COUNTIFS(Calendar!$F:$F, D31+7, Calendar!$E:$E, "&gt;0")&gt;0)</f>
        <v/>
      </c>
      <c r="I31" s="5">
        <f>IF(D31="", "", IF(E31&gt;=15, IF(AND(H31, G31, F31&gt;0), (E31/F31)*$B$5, 0), 0))</f>
        <v/>
      </c>
    </row>
    <row r="32">
      <c r="D32" s="4" t="n"/>
      <c r="E32" s="5">
        <f>IF(D32="", "", SUMIFS(Calendar!$E:$E, Calendar!$F:$F, D32))</f>
        <v/>
      </c>
      <c r="F32" s="5">
        <f>IF(D32="", "", COUNTIFS(Calendar!$F:$F, D32, Calendar!$E:$E, "&gt;0"))</f>
        <v/>
      </c>
      <c r="G32" s="4">
        <f>IF(D32="", "", COUNTIFS(Calendar!$F:$F, D32, Calendar!$B:$B, 7)&gt;0)</f>
        <v/>
      </c>
      <c r="H32" s="4">
        <f>IF(D32="", "", COUNTIFS(Calendar!$F:$F, D32+7, Calendar!$E:$E, "&gt;0")&gt;0)</f>
        <v/>
      </c>
      <c r="I32" s="5">
        <f>IF(D32="", "", IF(E32&gt;=15, IF(AND(H32, G32, F32&gt;0), (E32/F32)*$B$5, 0), 0))</f>
        <v/>
      </c>
    </row>
    <row r="33">
      <c r="D33" s="4" t="n"/>
      <c r="E33" s="5">
        <f>IF(D33="", "", SUMIFS(Calendar!$E:$E, Calendar!$F:$F, D33))</f>
        <v/>
      </c>
      <c r="F33" s="5">
        <f>IF(D33="", "", COUNTIFS(Calendar!$F:$F, D33, Calendar!$E:$E, "&gt;0"))</f>
        <v/>
      </c>
      <c r="G33" s="4">
        <f>IF(D33="", "", COUNTIFS(Calendar!$F:$F, D33, Calendar!$B:$B, 7)&gt;0)</f>
        <v/>
      </c>
      <c r="H33" s="4">
        <f>IF(D33="", "", COUNTIFS(Calendar!$F:$F, D33+7, Calendar!$E:$E, "&gt;0")&gt;0)</f>
        <v/>
      </c>
      <c r="I33" s="5">
        <f>IF(D33="", "", IF(E33&gt;=15, IF(AND(H33, G33, F33&gt;0), (E33/F33)*$B$5, 0), 0))</f>
        <v/>
      </c>
    </row>
    <row r="34">
      <c r="D34" s="4" t="n"/>
      <c r="E34" s="5">
        <f>IF(D34="", "", SUMIFS(Calendar!$E:$E, Calendar!$F:$F, D34))</f>
        <v/>
      </c>
      <c r="F34" s="5">
        <f>IF(D34="", "", COUNTIFS(Calendar!$F:$F, D34, Calendar!$E:$E, "&gt;0"))</f>
        <v/>
      </c>
      <c r="G34" s="4">
        <f>IF(D34="", "", COUNTIFS(Calendar!$F:$F, D34, Calendar!$B:$B, 7)&gt;0)</f>
        <v/>
      </c>
      <c r="H34" s="4">
        <f>IF(D34="", "", COUNTIFS(Calendar!$F:$F, D34+7, Calendar!$E:$E, "&gt;0")&gt;0)</f>
        <v/>
      </c>
      <c r="I34" s="5">
        <f>IF(D34="", "", IF(E34&gt;=15, IF(AND(H34, G34, F34&gt;0), (E34/F34)*$B$5, 0), 0))</f>
        <v/>
      </c>
    </row>
    <row r="35">
      <c r="D35" s="4" t="n"/>
      <c r="E35" s="5">
        <f>IF(D35="", "", SUMIFS(Calendar!$E:$E, Calendar!$F:$F, D35))</f>
        <v/>
      </c>
      <c r="F35" s="5">
        <f>IF(D35="", "", COUNTIFS(Calendar!$F:$F, D35, Calendar!$E:$E, "&gt;0"))</f>
        <v/>
      </c>
      <c r="G35" s="4">
        <f>IF(D35="", "", COUNTIFS(Calendar!$F:$F, D35, Calendar!$B:$B, 7)&gt;0)</f>
        <v/>
      </c>
      <c r="H35" s="4">
        <f>IF(D35="", "", COUNTIFS(Calendar!$F:$F, D35+7, Calendar!$E:$E, "&gt;0")&gt;0)</f>
        <v/>
      </c>
      <c r="I35" s="5">
        <f>IF(D35="", "", IF(E35&gt;=15, IF(AND(H35, G35, F35&gt;0), (E35/F35)*$B$5, 0), 0))</f>
        <v/>
      </c>
    </row>
    <row r="36">
      <c r="D36" s="4" t="n"/>
      <c r="E36" s="5">
        <f>IF(D36="", "", SUMIFS(Calendar!$E:$E, Calendar!$F:$F, D36))</f>
        <v/>
      </c>
      <c r="F36" s="5">
        <f>IF(D36="", "", COUNTIFS(Calendar!$F:$F, D36, Calendar!$E:$E, "&gt;0"))</f>
        <v/>
      </c>
      <c r="G36" s="4">
        <f>IF(D36="", "", COUNTIFS(Calendar!$F:$F, D36, Calendar!$B:$B, 7)&gt;0)</f>
        <v/>
      </c>
      <c r="H36" s="4">
        <f>IF(D36="", "", COUNTIFS(Calendar!$F:$F, D36+7, Calendar!$E:$E, "&gt;0")&gt;0)</f>
        <v/>
      </c>
      <c r="I36" s="5">
        <f>IF(D36="", "", IF(E36&gt;=15, IF(AND(H36, G36, F36&gt;0), (E36/F36)*$B$5, 0), 0))</f>
        <v/>
      </c>
    </row>
    <row r="37">
      <c r="D37" s="4" t="n"/>
      <c r="E37" s="5">
        <f>IF(D37="", "", SUMIFS(Calendar!$E:$E, Calendar!$F:$F, D37))</f>
        <v/>
      </c>
      <c r="F37" s="5">
        <f>IF(D37="", "", COUNTIFS(Calendar!$F:$F, D37, Calendar!$E:$E, "&gt;0"))</f>
        <v/>
      </c>
      <c r="G37" s="4">
        <f>IF(D37="", "", COUNTIFS(Calendar!$F:$F, D37, Calendar!$B:$B, 7)&gt;0)</f>
        <v/>
      </c>
      <c r="H37" s="4">
        <f>IF(D37="", "", COUNTIFS(Calendar!$F:$F, D37+7, Calendar!$E:$E, "&gt;0")&gt;0)</f>
        <v/>
      </c>
      <c r="I37" s="5">
        <f>IF(D37="", "", IF(E37&gt;=15, IF(AND(H37, G37, F37&gt;0), (E37/F37)*$B$5, 0), 0))</f>
        <v/>
      </c>
    </row>
    <row r="38">
      <c r="D38" s="4" t="n"/>
      <c r="E38" s="5">
        <f>IF(D38="", "", SUMIFS(Calendar!$E:$E, Calendar!$F:$F, D38))</f>
        <v/>
      </c>
      <c r="F38" s="5">
        <f>IF(D38="", "", COUNTIFS(Calendar!$F:$F, D38, Calendar!$E:$E, "&gt;0"))</f>
        <v/>
      </c>
      <c r="G38" s="4">
        <f>IF(D38="", "", COUNTIFS(Calendar!$F:$F, D38, Calendar!$B:$B, 7)&gt;0)</f>
        <v/>
      </c>
      <c r="H38" s="4">
        <f>IF(D38="", "", COUNTIFS(Calendar!$F:$F, D38+7, Calendar!$E:$E, "&gt;0")&gt;0)</f>
        <v/>
      </c>
      <c r="I38" s="5">
        <f>IF(D38="", "", IF(E38&gt;=15, IF(AND(H38, G38, F38&gt;0), (E38/F38)*$B$5, 0), 0))</f>
        <v/>
      </c>
    </row>
    <row r="39">
      <c r="D39" s="4" t="n"/>
      <c r="E39" s="5">
        <f>IF(D39="", "", SUMIFS(Calendar!$E:$E, Calendar!$F:$F, D39))</f>
        <v/>
      </c>
      <c r="F39" s="5">
        <f>IF(D39="", "", COUNTIFS(Calendar!$F:$F, D39, Calendar!$E:$E, "&gt;0"))</f>
        <v/>
      </c>
      <c r="G39" s="4">
        <f>IF(D39="", "", COUNTIFS(Calendar!$F:$F, D39, Calendar!$B:$B, 7)&gt;0)</f>
        <v/>
      </c>
      <c r="H39" s="4">
        <f>IF(D39="", "", COUNTIFS(Calendar!$F:$F, D39+7, Calendar!$E:$E, "&gt;0")&gt;0)</f>
        <v/>
      </c>
      <c r="I39" s="5">
        <f>IF(D39="", "", IF(E39&gt;=15, IF(AND(H39, G39, F39&gt;0), (E39/F39)*$B$5, 0), 0))</f>
        <v/>
      </c>
    </row>
    <row r="40">
      <c r="D40" s="4" t="n"/>
      <c r="E40" s="5">
        <f>IF(D40="", "", SUMIFS(Calendar!$E:$E, Calendar!$F:$F, D40))</f>
        <v/>
      </c>
      <c r="F40" s="5">
        <f>IF(D40="", "", COUNTIFS(Calendar!$F:$F, D40, Calendar!$E:$E, "&gt;0"))</f>
        <v/>
      </c>
      <c r="G40" s="4">
        <f>IF(D40="", "", COUNTIFS(Calendar!$F:$F, D40, Calendar!$B:$B, 7)&gt;0)</f>
        <v/>
      </c>
      <c r="H40" s="4">
        <f>IF(D40="", "", COUNTIFS(Calendar!$F:$F, D40+7, Calendar!$E:$E, "&gt;0")&gt;0)</f>
        <v/>
      </c>
      <c r="I40" s="5">
        <f>IF(D40="", "", IF(E40&gt;=15, IF(AND(H40, G40, F40&gt;0), (E40/F40)*$B$5, 0), 0))</f>
        <v/>
      </c>
    </row>
    <row r="41">
      <c r="D41" s="4" t="n"/>
      <c r="E41" s="5">
        <f>IF(D41="", "", SUMIFS(Calendar!$E:$E, Calendar!$F:$F, D41))</f>
        <v/>
      </c>
      <c r="F41" s="5">
        <f>IF(D41="", "", COUNTIFS(Calendar!$F:$F, D41, Calendar!$E:$E, "&gt;0"))</f>
        <v/>
      </c>
      <c r="G41" s="4">
        <f>IF(D41="", "", COUNTIFS(Calendar!$F:$F, D41, Calendar!$B:$B, 7)&gt;0)</f>
        <v/>
      </c>
      <c r="H41" s="4">
        <f>IF(D41="", "", COUNTIFS(Calendar!$F:$F, D41+7, Calendar!$E:$E, "&gt;0")&gt;0)</f>
        <v/>
      </c>
      <c r="I41" s="5">
        <f>IF(D41="", "", IF(E41&gt;=15, IF(AND(H41, G41, F41&gt;0), (E41/F41)*$B$5, 0), 0))</f>
        <v/>
      </c>
    </row>
    <row r="42">
      <c r="D42" s="4" t="n"/>
      <c r="E42" s="5">
        <f>IF(D42="", "", SUMIFS(Calendar!$E:$E, Calendar!$F:$F, D42))</f>
        <v/>
      </c>
      <c r="F42" s="5">
        <f>IF(D42="", "", COUNTIFS(Calendar!$F:$F, D42, Calendar!$E:$E, "&gt;0"))</f>
        <v/>
      </c>
      <c r="G42" s="4">
        <f>IF(D42="", "", COUNTIFS(Calendar!$F:$F, D42, Calendar!$B:$B, 7)&gt;0)</f>
        <v/>
      </c>
      <c r="H42" s="4">
        <f>IF(D42="", "", COUNTIFS(Calendar!$F:$F, D42+7, Calendar!$E:$E, "&gt;0")&gt;0)</f>
        <v/>
      </c>
      <c r="I42" s="5">
        <f>IF(D42="", "", IF(E42&gt;=15, IF(AND(H42, G42, F42&gt;0), (E42/F42)*$B$5, 0), 0))</f>
        <v/>
      </c>
    </row>
    <row r="43">
      <c r="D43" s="4" t="n"/>
      <c r="E43" s="5">
        <f>IF(D43="", "", SUMIFS(Calendar!$E:$E, Calendar!$F:$F, D43))</f>
        <v/>
      </c>
      <c r="F43" s="5">
        <f>IF(D43="", "", COUNTIFS(Calendar!$F:$F, D43, Calendar!$E:$E, "&gt;0"))</f>
        <v/>
      </c>
      <c r="G43" s="4">
        <f>IF(D43="", "", COUNTIFS(Calendar!$F:$F, D43, Calendar!$B:$B, 7)&gt;0)</f>
        <v/>
      </c>
      <c r="H43" s="4">
        <f>IF(D43="", "", COUNTIFS(Calendar!$F:$F, D43+7, Calendar!$E:$E, "&gt;0")&gt;0)</f>
        <v/>
      </c>
      <c r="I43" s="5">
        <f>IF(D43="", "", IF(E43&gt;=15, IF(AND(H43, G43, F43&gt;0), (E43/F43)*$B$5, 0), 0))</f>
        <v/>
      </c>
    </row>
    <row r="44">
      <c r="D44" s="4" t="n"/>
      <c r="E44" s="5">
        <f>IF(D44="", "", SUMIFS(Calendar!$E:$E, Calendar!$F:$F, D44))</f>
        <v/>
      </c>
      <c r="F44" s="5">
        <f>IF(D44="", "", COUNTIFS(Calendar!$F:$F, D44, Calendar!$E:$E, "&gt;0"))</f>
        <v/>
      </c>
      <c r="G44" s="4">
        <f>IF(D44="", "", COUNTIFS(Calendar!$F:$F, D44, Calendar!$B:$B, 7)&gt;0)</f>
        <v/>
      </c>
      <c r="H44" s="4">
        <f>IF(D44="", "", COUNTIFS(Calendar!$F:$F, D44+7, Calendar!$E:$E, "&gt;0")&gt;0)</f>
        <v/>
      </c>
      <c r="I44" s="5">
        <f>IF(D44="", "", IF(E44&gt;=15, IF(AND(H44, G44, F44&gt;0), (E44/F44)*$B$5, 0), 0))</f>
        <v/>
      </c>
    </row>
    <row r="45">
      <c r="D45" s="4" t="n"/>
      <c r="E45" s="5">
        <f>IF(D45="", "", SUMIFS(Calendar!$E:$E, Calendar!$F:$F, D45))</f>
        <v/>
      </c>
      <c r="F45" s="5">
        <f>IF(D45="", "", COUNTIFS(Calendar!$F:$F, D45, Calendar!$E:$E, "&gt;0"))</f>
        <v/>
      </c>
      <c r="G45" s="4">
        <f>IF(D45="", "", COUNTIFS(Calendar!$F:$F, D45, Calendar!$B:$B, 7)&gt;0)</f>
        <v/>
      </c>
      <c r="H45" s="4">
        <f>IF(D45="", "", COUNTIFS(Calendar!$F:$F, D45+7, Calendar!$E:$E, "&gt;0")&gt;0)</f>
        <v/>
      </c>
      <c r="I45" s="5">
        <f>IF(D45="", "", IF(E45&gt;=15, IF(AND(H45, G45, F45&gt;0), (E45/F45)*$B$5, 0), 0))</f>
        <v/>
      </c>
    </row>
    <row r="46">
      <c r="D46" s="4" t="n"/>
      <c r="E46" s="5">
        <f>IF(D46="", "", SUMIFS(Calendar!$E:$E, Calendar!$F:$F, D46))</f>
        <v/>
      </c>
      <c r="F46" s="5">
        <f>IF(D46="", "", COUNTIFS(Calendar!$F:$F, D46, Calendar!$E:$E, "&gt;0"))</f>
        <v/>
      </c>
      <c r="G46" s="4">
        <f>IF(D46="", "", COUNTIFS(Calendar!$F:$F, D46, Calendar!$B:$B, 7)&gt;0)</f>
        <v/>
      </c>
      <c r="H46" s="4">
        <f>IF(D46="", "", COUNTIFS(Calendar!$F:$F, D46+7, Calendar!$E:$E, "&gt;0")&gt;0)</f>
        <v/>
      </c>
      <c r="I46" s="5">
        <f>IF(D46="", "", IF(E46&gt;=15, IF(AND(H46, G46, F46&gt;0), (E46/F46)*$B$5, 0), 0))</f>
        <v/>
      </c>
    </row>
    <row r="47">
      <c r="D47" s="4" t="n"/>
      <c r="E47" s="5">
        <f>IF(D47="", "", SUMIFS(Calendar!$E:$E, Calendar!$F:$F, D47))</f>
        <v/>
      </c>
      <c r="F47" s="5">
        <f>IF(D47="", "", COUNTIFS(Calendar!$F:$F, D47, Calendar!$E:$E, "&gt;0"))</f>
        <v/>
      </c>
      <c r="G47" s="4">
        <f>IF(D47="", "", COUNTIFS(Calendar!$F:$F, D47, Calendar!$B:$B, 7)&gt;0)</f>
        <v/>
      </c>
      <c r="H47" s="4">
        <f>IF(D47="", "", COUNTIFS(Calendar!$F:$F, D47+7, Calendar!$E:$E, "&gt;0")&gt;0)</f>
        <v/>
      </c>
      <c r="I47" s="5">
        <f>IF(D47="", "", IF(E47&gt;=15, IF(AND(H47, G47, F47&gt;0), (E47/F47)*$B$5, 0), 0))</f>
        <v/>
      </c>
    </row>
    <row r="48">
      <c r="D48" s="4" t="n"/>
      <c r="E48" s="5">
        <f>IF(D48="", "", SUMIFS(Calendar!$E:$E, Calendar!$F:$F, D48))</f>
        <v/>
      </c>
      <c r="F48" s="5">
        <f>IF(D48="", "", COUNTIFS(Calendar!$F:$F, D48, Calendar!$E:$E, "&gt;0"))</f>
        <v/>
      </c>
      <c r="G48" s="4">
        <f>IF(D48="", "", COUNTIFS(Calendar!$F:$F, D48, Calendar!$B:$B, 7)&gt;0)</f>
        <v/>
      </c>
      <c r="H48" s="4">
        <f>IF(D48="", "", COUNTIFS(Calendar!$F:$F, D48+7, Calendar!$E:$E, "&gt;0")&gt;0)</f>
        <v/>
      </c>
      <c r="I48" s="5">
        <f>IF(D48="", "", IF(E48&gt;=15, IF(AND(H48, G48, F48&gt;0), (E48/F48)*$B$5, 0), 0))</f>
        <v/>
      </c>
    </row>
    <row r="49">
      <c r="D49" s="4" t="n"/>
      <c r="E49" s="5">
        <f>IF(D49="", "", SUMIFS(Calendar!$E:$E, Calendar!$F:$F, D49))</f>
        <v/>
      </c>
      <c r="F49" s="5">
        <f>IF(D49="", "", COUNTIFS(Calendar!$F:$F, D49, Calendar!$E:$E, "&gt;0"))</f>
        <v/>
      </c>
      <c r="G49" s="4">
        <f>IF(D49="", "", COUNTIFS(Calendar!$F:$F, D49, Calendar!$B:$B, 7)&gt;0)</f>
        <v/>
      </c>
      <c r="H49" s="4">
        <f>IF(D49="", "", COUNTIFS(Calendar!$F:$F, D49+7, Calendar!$E:$E, "&gt;0")&gt;0)</f>
        <v/>
      </c>
      <c r="I49" s="5">
        <f>IF(D49="", "", IF(E49&gt;=15, IF(AND(H49, G49, F49&gt;0), (E49/F49)*$B$5, 0), 0))</f>
        <v/>
      </c>
    </row>
    <row r="50">
      <c r="D50" s="4" t="n"/>
      <c r="E50" s="5">
        <f>IF(D50="", "", SUMIFS(Calendar!$E:$E, Calendar!$F:$F, D50))</f>
        <v/>
      </c>
      <c r="F50" s="5">
        <f>IF(D50="", "", COUNTIFS(Calendar!$F:$F, D50, Calendar!$E:$E, "&gt;0"))</f>
        <v/>
      </c>
      <c r="G50" s="4">
        <f>IF(D50="", "", COUNTIFS(Calendar!$F:$F, D50, Calendar!$B:$B, 7)&gt;0)</f>
        <v/>
      </c>
      <c r="H50" s="4">
        <f>IF(D50="", "", COUNTIFS(Calendar!$F:$F, D50+7, Calendar!$E:$E, "&gt;0")&gt;0)</f>
        <v/>
      </c>
      <c r="I50" s="5">
        <f>IF(D50="", "", IF(E50&gt;=15, IF(AND(H50, G50, F50&gt;0), (E50/F50)*$B$5, 0), 0))</f>
        <v/>
      </c>
    </row>
    <row r="51">
      <c r="D51" s="4" t="n"/>
      <c r="E51" s="5">
        <f>IF(D51="", "", SUMIFS(Calendar!$E:$E, Calendar!$F:$F, D51))</f>
        <v/>
      </c>
      <c r="F51" s="5">
        <f>IF(D51="", "", COUNTIFS(Calendar!$F:$F, D51, Calendar!$E:$E, "&gt;0"))</f>
        <v/>
      </c>
      <c r="G51" s="4">
        <f>IF(D51="", "", COUNTIFS(Calendar!$F:$F, D51, Calendar!$B:$B, 7)&gt;0)</f>
        <v/>
      </c>
      <c r="H51" s="4">
        <f>IF(D51="", "", COUNTIFS(Calendar!$F:$F, D51+7, Calendar!$E:$E, "&gt;0")&gt;0)</f>
        <v/>
      </c>
      <c r="I51" s="5">
        <f>IF(D51="", "", IF(E51&gt;=15, IF(AND(H51, G51, F51&gt;0), (E51/F51)*$B$5, 0), 0))</f>
        <v/>
      </c>
    </row>
    <row r="52">
      <c r="D52" s="4" t="n"/>
      <c r="E52" s="5">
        <f>IF(D52="", "", SUMIFS(Calendar!$E:$E, Calendar!$F:$F, D52))</f>
        <v/>
      </c>
      <c r="F52" s="5">
        <f>IF(D52="", "", COUNTIFS(Calendar!$F:$F, D52, Calendar!$E:$E, "&gt;0"))</f>
        <v/>
      </c>
      <c r="G52" s="4">
        <f>IF(D52="", "", COUNTIFS(Calendar!$F:$F, D52, Calendar!$B:$B, 7)&gt;0)</f>
        <v/>
      </c>
      <c r="H52" s="4">
        <f>IF(D52="", "", COUNTIFS(Calendar!$F:$F, D52+7, Calendar!$E:$E, "&gt;0")&gt;0)</f>
        <v/>
      </c>
      <c r="I52" s="5">
        <f>IF(D52="", "", IF(E52&gt;=15, IF(AND(H52, G52, F52&gt;0), (E52/F52)*$B$5, 0), 0))</f>
        <v/>
      </c>
    </row>
    <row r="53">
      <c r="D53" s="4" t="n"/>
      <c r="E53" s="5">
        <f>IF(D53="", "", SUMIFS(Calendar!$E:$E, Calendar!$F:$F, D53))</f>
        <v/>
      </c>
      <c r="F53" s="5">
        <f>IF(D53="", "", COUNTIFS(Calendar!$F:$F, D53, Calendar!$E:$E, "&gt;0"))</f>
        <v/>
      </c>
      <c r="G53" s="4">
        <f>IF(D53="", "", COUNTIFS(Calendar!$F:$F, D53, Calendar!$B:$B, 7)&gt;0)</f>
        <v/>
      </c>
      <c r="H53" s="4">
        <f>IF(D53="", "", COUNTIFS(Calendar!$F:$F, D53+7, Calendar!$E:$E, "&gt;0")&gt;0)</f>
        <v/>
      </c>
      <c r="I53" s="5">
        <f>IF(D53="", "", IF(E53&gt;=15, IF(AND(H53, G53, F53&gt;0), (E53/F53)*$B$5, 0), 0))</f>
        <v/>
      </c>
    </row>
    <row r="54">
      <c r="D54" s="4" t="n"/>
      <c r="E54" s="5">
        <f>IF(D54="", "", SUMIFS(Calendar!$E:$E, Calendar!$F:$F, D54))</f>
        <v/>
      </c>
      <c r="F54" s="5">
        <f>IF(D54="", "", COUNTIFS(Calendar!$F:$F, D54, Calendar!$E:$E, "&gt;0"))</f>
        <v/>
      </c>
      <c r="G54" s="4">
        <f>IF(D54="", "", COUNTIFS(Calendar!$F:$F, D54, Calendar!$B:$B, 7)&gt;0)</f>
        <v/>
      </c>
      <c r="H54" s="4">
        <f>IF(D54="", "", COUNTIFS(Calendar!$F:$F, D54+7, Calendar!$E:$E, "&gt;0")&gt;0)</f>
        <v/>
      </c>
      <c r="I54" s="5">
        <f>IF(D54="", "", IF(E54&gt;=15, IF(AND(H54, G54, F54&gt;0), (E54/F54)*$B$5, 0), 0))</f>
        <v/>
      </c>
    </row>
    <row r="55">
      <c r="D55" s="4" t="n"/>
      <c r="E55" s="5">
        <f>IF(D55="", "", SUMIFS(Calendar!$E:$E, Calendar!$F:$F, D55))</f>
        <v/>
      </c>
      <c r="F55" s="5">
        <f>IF(D55="", "", COUNTIFS(Calendar!$F:$F, D55, Calendar!$E:$E, "&gt;0"))</f>
        <v/>
      </c>
      <c r="G55" s="4">
        <f>IF(D55="", "", COUNTIFS(Calendar!$F:$F, D55, Calendar!$B:$B, 7)&gt;0)</f>
        <v/>
      </c>
      <c r="H55" s="4">
        <f>IF(D55="", "", COUNTIFS(Calendar!$F:$F, D55+7, Calendar!$E:$E, "&gt;0")&gt;0)</f>
        <v/>
      </c>
      <c r="I55" s="5">
        <f>IF(D55="", "", IF(E55&gt;=15, IF(AND(H55, G55, F55&gt;0), (E55/F55)*$B$5, 0), 0))</f>
        <v/>
      </c>
    </row>
    <row r="56">
      <c r="D56" s="4" t="n"/>
      <c r="E56" s="5">
        <f>IF(D56="", "", SUMIFS(Calendar!$E:$E, Calendar!$F:$F, D56))</f>
        <v/>
      </c>
      <c r="F56" s="5">
        <f>IF(D56="", "", COUNTIFS(Calendar!$F:$F, D56, Calendar!$E:$E, "&gt;0"))</f>
        <v/>
      </c>
      <c r="G56" s="4">
        <f>IF(D56="", "", COUNTIFS(Calendar!$F:$F, D56, Calendar!$B:$B, 7)&gt;0)</f>
        <v/>
      </c>
      <c r="H56" s="4">
        <f>IF(D56="", "", COUNTIFS(Calendar!$F:$F, D56+7, Calendar!$E:$E, "&gt;0")&gt;0)</f>
        <v/>
      </c>
      <c r="I56" s="5">
        <f>IF(D56="", "", IF(E56&gt;=15, IF(AND(H56, G56, F56&gt;0), (E56/F56)*$B$5, 0), 0))</f>
        <v/>
      </c>
    </row>
    <row r="57">
      <c r="D57" s="4" t="n"/>
      <c r="E57" s="5">
        <f>IF(D57="", "", SUMIFS(Calendar!$E:$E, Calendar!$F:$F, D57))</f>
        <v/>
      </c>
      <c r="F57" s="5">
        <f>IF(D57="", "", COUNTIFS(Calendar!$F:$F, D57, Calendar!$E:$E, "&gt;0"))</f>
        <v/>
      </c>
      <c r="G57" s="4">
        <f>IF(D57="", "", COUNTIFS(Calendar!$F:$F, D57, Calendar!$B:$B, 7)&gt;0)</f>
        <v/>
      </c>
      <c r="H57" s="4">
        <f>IF(D57="", "", COUNTIFS(Calendar!$F:$F, D57+7, Calendar!$E:$E, "&gt;0")&gt;0)</f>
        <v/>
      </c>
      <c r="I57" s="5">
        <f>IF(D57="", "", IF(E57&gt;=15, IF(AND(H57, G57, F57&gt;0), (E57/F57)*$B$5, 0), 0))</f>
        <v/>
      </c>
    </row>
    <row r="58">
      <c r="D58" s="4" t="n"/>
      <c r="E58" s="5">
        <f>IF(D58="", "", SUMIFS(Calendar!$E:$E, Calendar!$F:$F, D58))</f>
        <v/>
      </c>
      <c r="F58" s="5">
        <f>IF(D58="", "", COUNTIFS(Calendar!$F:$F, D58, Calendar!$E:$E, "&gt;0"))</f>
        <v/>
      </c>
      <c r="G58" s="4">
        <f>IF(D58="", "", COUNTIFS(Calendar!$F:$F, D58, Calendar!$B:$B, 7)&gt;0)</f>
        <v/>
      </c>
      <c r="H58" s="4">
        <f>IF(D58="", "", COUNTIFS(Calendar!$F:$F, D58+7, Calendar!$E:$E, "&gt;0")&gt;0)</f>
        <v/>
      </c>
      <c r="I58" s="5">
        <f>IF(D58="", "", IF(E58&gt;=15, IF(AND(H58, G58, F58&gt;0), (E58/F58)*$B$5, 0), 0))</f>
        <v/>
      </c>
    </row>
    <row r="59">
      <c r="D59" s="4" t="n"/>
      <c r="E59" s="5">
        <f>IF(D59="", "", SUMIFS(Calendar!$E:$E, Calendar!$F:$F, D59))</f>
        <v/>
      </c>
      <c r="F59" s="5">
        <f>IF(D59="", "", COUNTIFS(Calendar!$F:$F, D59, Calendar!$E:$E, "&gt;0"))</f>
        <v/>
      </c>
      <c r="G59" s="4">
        <f>IF(D59="", "", COUNTIFS(Calendar!$F:$F, D59, Calendar!$B:$B, 7)&gt;0)</f>
        <v/>
      </c>
      <c r="H59" s="4">
        <f>IF(D59="", "", COUNTIFS(Calendar!$F:$F, D59+7, Calendar!$E:$E, "&gt;0")&gt;0)</f>
        <v/>
      </c>
      <c r="I59" s="5">
        <f>IF(D59="", "", IF(E59&gt;=15, IF(AND(H59, G59, F59&gt;0), (E59/F59)*$B$5, 0), 0))</f>
        <v/>
      </c>
    </row>
    <row r="60">
      <c r="D60" s="4" t="n"/>
      <c r="E60" s="5">
        <f>IF(D60="", "", SUMIFS(Calendar!$E:$E, Calendar!$F:$F, D60))</f>
        <v/>
      </c>
      <c r="F60" s="5">
        <f>IF(D60="", "", COUNTIFS(Calendar!$F:$F, D60, Calendar!$E:$E, "&gt;0"))</f>
        <v/>
      </c>
      <c r="G60" s="4">
        <f>IF(D60="", "", COUNTIFS(Calendar!$F:$F, D60, Calendar!$B:$B, 7)&gt;0)</f>
        <v/>
      </c>
      <c r="H60" s="4">
        <f>IF(D60="", "", COUNTIFS(Calendar!$F:$F, D60+7, Calendar!$E:$E, "&gt;0")&gt;0)</f>
        <v/>
      </c>
      <c r="I60" s="5">
        <f>IF(D60="", "", IF(E60&gt;=15, IF(AND(H60, G60, F60&gt;0), (E60/F60)*$B$5, 0), 0))</f>
        <v/>
      </c>
    </row>
    <row r="61">
      <c r="D61" s="4" t="n"/>
      <c r="E61" s="5">
        <f>IF(D61="", "", SUMIFS(Calendar!$E:$E, Calendar!$F:$F, D61))</f>
        <v/>
      </c>
      <c r="F61" s="5">
        <f>IF(D61="", "", COUNTIFS(Calendar!$F:$F, D61, Calendar!$E:$E, "&gt;0"))</f>
        <v/>
      </c>
      <c r="G61" s="4">
        <f>IF(D61="", "", COUNTIFS(Calendar!$F:$F, D61, Calendar!$B:$B, 7)&gt;0)</f>
        <v/>
      </c>
      <c r="H61" s="4">
        <f>IF(D61="", "", COUNTIFS(Calendar!$F:$F, D61+7, Calendar!$E:$E, "&gt;0")&gt;0)</f>
        <v/>
      </c>
      <c r="I61" s="5">
        <f>IF(D61="", "", IF(E61&gt;=15, IF(AND(H61, G61, F61&gt;0), (E61/F61)*$B$5, 0), 0))</f>
        <v/>
      </c>
    </row>
    <row r="62">
      <c r="D62" s="4" t="n"/>
      <c r="E62" s="5">
        <f>IF(D62="", "", SUMIFS(Calendar!$E:$E, Calendar!$F:$F, D62))</f>
        <v/>
      </c>
      <c r="F62" s="5">
        <f>IF(D62="", "", COUNTIFS(Calendar!$F:$F, D62, Calendar!$E:$E, "&gt;0"))</f>
        <v/>
      </c>
      <c r="G62" s="4">
        <f>IF(D62="", "", COUNTIFS(Calendar!$F:$F, D62, Calendar!$B:$B, 7)&gt;0)</f>
        <v/>
      </c>
      <c r="H62" s="4">
        <f>IF(D62="", "", COUNTIFS(Calendar!$F:$F, D62+7, Calendar!$E:$E, "&gt;0")&gt;0)</f>
        <v/>
      </c>
      <c r="I62" s="5">
        <f>IF(D62="", "", IF(E62&gt;=15, IF(AND(H62, G62, F62&gt;0), (E62/F62)*$B$5, 0), 0))</f>
        <v/>
      </c>
    </row>
    <row r="63">
      <c r="D63" s="4" t="n"/>
      <c r="E63" s="5">
        <f>IF(D63="", "", SUMIFS(Calendar!$E:$E, Calendar!$F:$F, D63))</f>
        <v/>
      </c>
      <c r="F63" s="5">
        <f>IF(D63="", "", COUNTIFS(Calendar!$F:$F, D63, Calendar!$E:$E, "&gt;0"))</f>
        <v/>
      </c>
      <c r="G63" s="4">
        <f>IF(D63="", "", COUNTIFS(Calendar!$F:$F, D63, Calendar!$B:$B, 7)&gt;0)</f>
        <v/>
      </c>
      <c r="H63" s="4">
        <f>IF(D63="", "", COUNTIFS(Calendar!$F:$F, D63+7, Calendar!$E:$E, "&gt;0")&gt;0)</f>
        <v/>
      </c>
      <c r="I63" s="5">
        <f>IF(D63="", "", IF(E63&gt;=15, IF(AND(H63, G63, F63&gt;0), (E63/F63)*$B$5, 0), 0))</f>
        <v/>
      </c>
    </row>
    <row r="64">
      <c r="D64" s="4" t="n"/>
      <c r="E64" s="5">
        <f>IF(D64="", "", SUMIFS(Calendar!$E:$E, Calendar!$F:$F, D64))</f>
        <v/>
      </c>
      <c r="F64" s="5">
        <f>IF(D64="", "", COUNTIFS(Calendar!$F:$F, D64, Calendar!$E:$E, "&gt;0"))</f>
        <v/>
      </c>
      <c r="G64" s="4">
        <f>IF(D64="", "", COUNTIFS(Calendar!$F:$F, D64, Calendar!$B:$B, 7)&gt;0)</f>
        <v/>
      </c>
      <c r="H64" s="4">
        <f>IF(D64="", "", COUNTIFS(Calendar!$F:$F, D64+7, Calendar!$E:$E, "&gt;0")&gt;0)</f>
        <v/>
      </c>
      <c r="I64" s="5">
        <f>IF(D64="", "", IF(E64&gt;=15, IF(AND(H64, G64, F64&gt;0), (E64/F64)*$B$5, 0), 0))</f>
        <v/>
      </c>
    </row>
    <row r="65">
      <c r="D65" s="4" t="n"/>
      <c r="E65" s="5">
        <f>IF(D65="", "", SUMIFS(Calendar!$E:$E, Calendar!$F:$F, D65))</f>
        <v/>
      </c>
      <c r="F65" s="5">
        <f>IF(D65="", "", COUNTIFS(Calendar!$F:$F, D65, Calendar!$E:$E, "&gt;0"))</f>
        <v/>
      </c>
      <c r="G65" s="4">
        <f>IF(D65="", "", COUNTIFS(Calendar!$F:$F, D65, Calendar!$B:$B, 7)&gt;0)</f>
        <v/>
      </c>
      <c r="H65" s="4">
        <f>IF(D65="", "", COUNTIFS(Calendar!$F:$F, D65+7, Calendar!$E:$E, "&gt;0")&gt;0)</f>
        <v/>
      </c>
      <c r="I65" s="5">
        <f>IF(D65="", "", IF(E65&gt;=15, IF(AND(H65, G65, F65&gt;0), (E65/F65)*$B$5, 0), 0))</f>
        <v/>
      </c>
    </row>
    <row r="66">
      <c r="D66" s="4" t="n"/>
      <c r="E66" s="5">
        <f>IF(D66="", "", SUMIFS(Calendar!$E:$E, Calendar!$F:$F, D66))</f>
        <v/>
      </c>
      <c r="F66" s="5">
        <f>IF(D66="", "", COUNTIFS(Calendar!$F:$F, D66, Calendar!$E:$E, "&gt;0"))</f>
        <v/>
      </c>
      <c r="G66" s="4">
        <f>IF(D66="", "", COUNTIFS(Calendar!$F:$F, D66, Calendar!$B:$B, 7)&gt;0)</f>
        <v/>
      </c>
      <c r="H66" s="4">
        <f>IF(D66="", "", COUNTIFS(Calendar!$F:$F, D66+7, Calendar!$E:$E, "&gt;0")&gt;0)</f>
        <v/>
      </c>
      <c r="I66" s="5">
        <f>IF(D66="", "", IF(E66&gt;=15, IF(AND(H66, G66, F66&gt;0), (E66/F66)*$B$5, 0), 0))</f>
        <v/>
      </c>
    </row>
    <row r="67">
      <c r="D67" s="4" t="n"/>
      <c r="E67" s="5">
        <f>IF(D67="", "", SUMIFS(Calendar!$E:$E, Calendar!$F:$F, D67))</f>
        <v/>
      </c>
      <c r="F67" s="5">
        <f>IF(D67="", "", COUNTIFS(Calendar!$F:$F, D67, Calendar!$E:$E, "&gt;0"))</f>
        <v/>
      </c>
      <c r="G67" s="4">
        <f>IF(D67="", "", COUNTIFS(Calendar!$F:$F, D67, Calendar!$B:$B, 7)&gt;0)</f>
        <v/>
      </c>
      <c r="H67" s="4">
        <f>IF(D67="", "", COUNTIFS(Calendar!$F:$F, D67+7, Calendar!$E:$E, "&gt;0")&gt;0)</f>
        <v/>
      </c>
      <c r="I67" s="5">
        <f>IF(D67="", "", IF(E67&gt;=15, IF(AND(H67, G67, F67&gt;0), (E67/F67)*$B$5, 0), 0))</f>
        <v/>
      </c>
    </row>
    <row r="68">
      <c r="D68" s="4" t="n"/>
      <c r="E68" s="5">
        <f>IF(D68="", "", SUMIFS(Calendar!$E:$E, Calendar!$F:$F, D68))</f>
        <v/>
      </c>
      <c r="F68" s="5">
        <f>IF(D68="", "", COUNTIFS(Calendar!$F:$F, D68, Calendar!$E:$E, "&gt;0"))</f>
        <v/>
      </c>
      <c r="G68" s="4">
        <f>IF(D68="", "", COUNTIFS(Calendar!$F:$F, D68, Calendar!$B:$B, 7)&gt;0)</f>
        <v/>
      </c>
      <c r="H68" s="4">
        <f>IF(D68="", "", COUNTIFS(Calendar!$F:$F, D68+7, Calendar!$E:$E, "&gt;0")&gt;0)</f>
        <v/>
      </c>
      <c r="I68" s="5">
        <f>IF(D68="", "", IF(E68&gt;=15, IF(AND(H68, G68, F68&gt;0), (E68/F68)*$B$5, 0), 0))</f>
        <v/>
      </c>
    </row>
    <row r="69">
      <c r="D69" s="4" t="n"/>
      <c r="E69" s="5">
        <f>IF(D69="", "", SUMIFS(Calendar!$E:$E, Calendar!$F:$F, D69))</f>
        <v/>
      </c>
      <c r="F69" s="5">
        <f>IF(D69="", "", COUNTIFS(Calendar!$F:$F, D69, Calendar!$E:$E, "&gt;0"))</f>
        <v/>
      </c>
      <c r="G69" s="4">
        <f>IF(D69="", "", COUNTIFS(Calendar!$F:$F, D69, Calendar!$B:$B, 7)&gt;0)</f>
        <v/>
      </c>
      <c r="H69" s="4">
        <f>IF(D69="", "", COUNTIFS(Calendar!$F:$F, D69+7, Calendar!$E:$E, "&gt;0")&gt;0)</f>
        <v/>
      </c>
      <c r="I69" s="5">
        <f>IF(D69="", "", IF(E69&gt;=15, IF(AND(H69, G69, F69&gt;0), (E69/F69)*$B$5, 0), 0))</f>
        <v/>
      </c>
    </row>
    <row r="70">
      <c r="D70" s="4" t="n"/>
      <c r="E70" s="5">
        <f>IF(D70="", "", SUMIFS(Calendar!$E:$E, Calendar!$F:$F, D70))</f>
        <v/>
      </c>
      <c r="F70" s="5">
        <f>IF(D70="", "", COUNTIFS(Calendar!$F:$F, D70, Calendar!$E:$E, "&gt;0"))</f>
        <v/>
      </c>
      <c r="G70" s="4">
        <f>IF(D70="", "", COUNTIFS(Calendar!$F:$F, D70, Calendar!$B:$B, 7)&gt;0)</f>
        <v/>
      </c>
      <c r="H70" s="4">
        <f>IF(D70="", "", COUNTIFS(Calendar!$F:$F, D70+7, Calendar!$E:$E, "&gt;0")&gt;0)</f>
        <v/>
      </c>
      <c r="I70" s="5">
        <f>IF(D70="", "", IF(E70&gt;=15, IF(AND(H70, G70, F70&gt;0), (E70/F70)*$B$5, 0), 0))</f>
        <v/>
      </c>
    </row>
    <row r="71">
      <c r="D71" s="4" t="n"/>
      <c r="E71" s="5">
        <f>IF(D71="", "", SUMIFS(Calendar!$E:$E, Calendar!$F:$F, D71))</f>
        <v/>
      </c>
      <c r="F71" s="5">
        <f>IF(D71="", "", COUNTIFS(Calendar!$F:$F, D71, Calendar!$E:$E, "&gt;0"))</f>
        <v/>
      </c>
      <c r="G71" s="4">
        <f>IF(D71="", "", COUNTIFS(Calendar!$F:$F, D71, Calendar!$B:$B, 7)&gt;0)</f>
        <v/>
      </c>
      <c r="H71" s="4">
        <f>IF(D71="", "", COUNTIFS(Calendar!$F:$F, D71+7, Calendar!$E:$E, "&gt;0")&gt;0)</f>
        <v/>
      </c>
      <c r="I71" s="5">
        <f>IF(D71="", "", IF(E71&gt;=15, IF(AND(H71, G71, F71&gt;0), (E71/F71)*$B$5, 0), 0))</f>
        <v/>
      </c>
    </row>
    <row r="72">
      <c r="D72" s="4" t="n"/>
      <c r="E72" s="5">
        <f>IF(D72="", "", SUMIFS(Calendar!$E:$E, Calendar!$F:$F, D72))</f>
        <v/>
      </c>
      <c r="F72" s="5">
        <f>IF(D72="", "", COUNTIFS(Calendar!$F:$F, D72, Calendar!$E:$E, "&gt;0"))</f>
        <v/>
      </c>
      <c r="G72" s="4">
        <f>IF(D72="", "", COUNTIFS(Calendar!$F:$F, D72, Calendar!$B:$B, 7)&gt;0)</f>
        <v/>
      </c>
      <c r="H72" s="4">
        <f>IF(D72="", "", COUNTIFS(Calendar!$F:$F, D72+7, Calendar!$E:$E, "&gt;0")&gt;0)</f>
        <v/>
      </c>
      <c r="I72" s="5">
        <f>IF(D72="", "", IF(E72&gt;=15, IF(AND(H72, G72, F72&gt;0), (E72/F72)*$B$5, 0), 0))</f>
        <v/>
      </c>
    </row>
    <row r="73">
      <c r="D73" s="4" t="n"/>
      <c r="E73" s="5">
        <f>IF(D73="", "", SUMIFS(Calendar!$E:$E, Calendar!$F:$F, D73))</f>
        <v/>
      </c>
      <c r="F73" s="5">
        <f>IF(D73="", "", COUNTIFS(Calendar!$F:$F, D73, Calendar!$E:$E, "&gt;0"))</f>
        <v/>
      </c>
      <c r="G73" s="4">
        <f>IF(D73="", "", COUNTIFS(Calendar!$F:$F, D73, Calendar!$B:$B, 7)&gt;0)</f>
        <v/>
      </c>
      <c r="H73" s="4">
        <f>IF(D73="", "", COUNTIFS(Calendar!$F:$F, D73+7, Calendar!$E:$E, "&gt;0")&gt;0)</f>
        <v/>
      </c>
      <c r="I73" s="5">
        <f>IF(D73="", "", IF(E73&gt;=15, IF(AND(H73, G73, F73&gt;0), (E73/F73)*$B$5, 0), 0))</f>
        <v/>
      </c>
    </row>
    <row r="74">
      <c r="D74" s="4" t="n"/>
      <c r="E74" s="5">
        <f>IF(D74="", "", SUMIFS(Calendar!$E:$E, Calendar!$F:$F, D74))</f>
        <v/>
      </c>
      <c r="F74" s="5">
        <f>IF(D74="", "", COUNTIFS(Calendar!$F:$F, D74, Calendar!$E:$E, "&gt;0"))</f>
        <v/>
      </c>
      <c r="G74" s="4">
        <f>IF(D74="", "", COUNTIFS(Calendar!$F:$F, D74, Calendar!$B:$B, 7)&gt;0)</f>
        <v/>
      </c>
      <c r="H74" s="4">
        <f>IF(D74="", "", COUNTIFS(Calendar!$F:$F, D74+7, Calendar!$E:$E, "&gt;0")&gt;0)</f>
        <v/>
      </c>
      <c r="I74" s="5">
        <f>IF(D74="", "", IF(E74&gt;=15, IF(AND(H74, G74, F74&gt;0), (E74/F74)*$B$5, 0), 0))</f>
        <v/>
      </c>
    </row>
    <row r="75">
      <c r="D75" s="4" t="n"/>
      <c r="E75" s="5">
        <f>IF(D75="", "", SUMIFS(Calendar!$E:$E, Calendar!$F:$F, D75))</f>
        <v/>
      </c>
      <c r="F75" s="5">
        <f>IF(D75="", "", COUNTIFS(Calendar!$F:$F, D75, Calendar!$E:$E, "&gt;0"))</f>
        <v/>
      </c>
      <c r="G75" s="4">
        <f>IF(D75="", "", COUNTIFS(Calendar!$F:$F, D75, Calendar!$B:$B, 7)&gt;0)</f>
        <v/>
      </c>
      <c r="H75" s="4">
        <f>IF(D75="", "", COUNTIFS(Calendar!$F:$F, D75+7, Calendar!$E:$E, "&gt;0")&gt;0)</f>
        <v/>
      </c>
      <c r="I75" s="5">
        <f>IF(D75="", "", IF(E75&gt;=15, IF(AND(H75, G75, F75&gt;0), (E75/F75)*$B$5, 0), 0))</f>
        <v/>
      </c>
    </row>
    <row r="76">
      <c r="D76" s="4" t="n"/>
      <c r="E76" s="5">
        <f>IF(D76="", "", SUMIFS(Calendar!$E:$E, Calendar!$F:$F, D76))</f>
        <v/>
      </c>
      <c r="F76" s="5">
        <f>IF(D76="", "", COUNTIFS(Calendar!$F:$F, D76, Calendar!$E:$E, "&gt;0"))</f>
        <v/>
      </c>
      <c r="G76" s="4">
        <f>IF(D76="", "", COUNTIFS(Calendar!$F:$F, D76, Calendar!$B:$B, 7)&gt;0)</f>
        <v/>
      </c>
      <c r="H76" s="4">
        <f>IF(D76="", "", COUNTIFS(Calendar!$F:$F, D76+7, Calendar!$E:$E, "&gt;0")&gt;0)</f>
        <v/>
      </c>
      <c r="I76" s="5">
        <f>IF(D76="", "", IF(E76&gt;=15, IF(AND(H76, G76, F76&gt;0), (E76/F76)*$B$5, 0), 0))</f>
        <v/>
      </c>
    </row>
    <row r="77">
      <c r="D77" s="4" t="n"/>
      <c r="E77" s="5">
        <f>IF(D77="", "", SUMIFS(Calendar!$E:$E, Calendar!$F:$F, D77))</f>
        <v/>
      </c>
      <c r="F77" s="5">
        <f>IF(D77="", "", COUNTIFS(Calendar!$F:$F, D77, Calendar!$E:$E, "&gt;0"))</f>
        <v/>
      </c>
      <c r="G77" s="4">
        <f>IF(D77="", "", COUNTIFS(Calendar!$F:$F, D77, Calendar!$B:$B, 7)&gt;0)</f>
        <v/>
      </c>
      <c r="H77" s="4">
        <f>IF(D77="", "", COUNTIFS(Calendar!$F:$F, D77+7, Calendar!$E:$E, "&gt;0")&gt;0)</f>
        <v/>
      </c>
      <c r="I77" s="5">
        <f>IF(D77="", "", IF(E77&gt;=15, IF(AND(H77, G77, F77&gt;0), (E77/F77)*$B$5, 0), 0))</f>
        <v/>
      </c>
    </row>
    <row r="78">
      <c r="D78" s="4" t="n"/>
      <c r="E78" s="5">
        <f>IF(D78="", "", SUMIFS(Calendar!$E:$E, Calendar!$F:$F, D78))</f>
        <v/>
      </c>
      <c r="F78" s="5">
        <f>IF(D78="", "", COUNTIFS(Calendar!$F:$F, D78, Calendar!$E:$E, "&gt;0"))</f>
        <v/>
      </c>
      <c r="G78" s="4">
        <f>IF(D78="", "", COUNTIFS(Calendar!$F:$F, D78, Calendar!$B:$B, 7)&gt;0)</f>
        <v/>
      </c>
      <c r="H78" s="4">
        <f>IF(D78="", "", COUNTIFS(Calendar!$F:$F, D78+7, Calendar!$E:$E, "&gt;0")&gt;0)</f>
        <v/>
      </c>
      <c r="I78" s="5">
        <f>IF(D78="", "", IF(E78&gt;=15, IF(AND(H78, G78, F78&gt;0), (E78/F78)*$B$5, 0), 0))</f>
        <v/>
      </c>
    </row>
    <row r="79">
      <c r="D79" s="4" t="n"/>
      <c r="E79" s="5">
        <f>IF(D79="", "", SUMIFS(Calendar!$E:$E, Calendar!$F:$F, D79))</f>
        <v/>
      </c>
      <c r="F79" s="5">
        <f>IF(D79="", "", COUNTIFS(Calendar!$F:$F, D79, Calendar!$E:$E, "&gt;0"))</f>
        <v/>
      </c>
      <c r="G79" s="4">
        <f>IF(D79="", "", COUNTIFS(Calendar!$F:$F, D79, Calendar!$B:$B, 7)&gt;0)</f>
        <v/>
      </c>
      <c r="H79" s="4">
        <f>IF(D79="", "", COUNTIFS(Calendar!$F:$F, D79+7, Calendar!$E:$E, "&gt;0")&gt;0)</f>
        <v/>
      </c>
      <c r="I79" s="5">
        <f>IF(D79="", "", IF(E79&gt;=15, IF(AND(H79, G79, F79&gt;0), (E79/F79)*$B$5, 0), 0))</f>
        <v/>
      </c>
    </row>
    <row r="80">
      <c r="D80" s="4" t="n"/>
      <c r="E80" s="5">
        <f>IF(D80="", "", SUMIFS(Calendar!$E:$E, Calendar!$F:$F, D80))</f>
        <v/>
      </c>
      <c r="F80" s="5">
        <f>IF(D80="", "", COUNTIFS(Calendar!$F:$F, D80, Calendar!$E:$E, "&gt;0"))</f>
        <v/>
      </c>
      <c r="G80" s="4">
        <f>IF(D80="", "", COUNTIFS(Calendar!$F:$F, D80, Calendar!$B:$B, 7)&gt;0)</f>
        <v/>
      </c>
      <c r="H80" s="4">
        <f>IF(D80="", "", COUNTIFS(Calendar!$F:$F, D80+7, Calendar!$E:$E, "&gt;0")&gt;0)</f>
        <v/>
      </c>
      <c r="I80" s="5">
        <f>IF(D80="", "", IF(E80&gt;=15, IF(AND(H80, G80, F80&gt;0), (E80/F80)*$B$5, 0), 0))</f>
        <v/>
      </c>
    </row>
    <row r="81">
      <c r="D81" s="4" t="n"/>
      <c r="E81" s="5">
        <f>IF(D81="", "", SUMIFS(Calendar!$E:$E, Calendar!$F:$F, D81))</f>
        <v/>
      </c>
      <c r="F81" s="5">
        <f>IF(D81="", "", COUNTIFS(Calendar!$F:$F, D81, Calendar!$E:$E, "&gt;0"))</f>
        <v/>
      </c>
      <c r="G81" s="4">
        <f>IF(D81="", "", COUNTIFS(Calendar!$F:$F, D81, Calendar!$B:$B, 7)&gt;0)</f>
        <v/>
      </c>
      <c r="H81" s="4">
        <f>IF(D81="", "", COUNTIFS(Calendar!$F:$F, D81+7, Calendar!$E:$E, "&gt;0")&gt;0)</f>
        <v/>
      </c>
      <c r="I81" s="5">
        <f>IF(D81="", "", IF(E81&gt;=15, IF(AND(H81, G81, F81&gt;0), (E81/F81)*$B$5, 0), 0))</f>
        <v/>
      </c>
    </row>
    <row r="82">
      <c r="D82" s="4" t="n"/>
      <c r="E82" s="5">
        <f>IF(D82="", "", SUMIFS(Calendar!$E:$E, Calendar!$F:$F, D82))</f>
        <v/>
      </c>
      <c r="F82" s="5">
        <f>IF(D82="", "", COUNTIFS(Calendar!$F:$F, D82, Calendar!$E:$E, "&gt;0"))</f>
        <v/>
      </c>
      <c r="G82" s="4">
        <f>IF(D82="", "", COUNTIFS(Calendar!$F:$F, D82, Calendar!$B:$B, 7)&gt;0)</f>
        <v/>
      </c>
      <c r="H82" s="4">
        <f>IF(D82="", "", COUNTIFS(Calendar!$F:$F, D82+7, Calendar!$E:$E, "&gt;0")&gt;0)</f>
        <v/>
      </c>
      <c r="I82" s="5">
        <f>IF(D82="", "", IF(E82&gt;=15, IF(AND(H82, G82, F82&gt;0), (E82/F82)*$B$5, 0), 0))</f>
        <v/>
      </c>
    </row>
    <row r="83">
      <c r="D83" s="4" t="n"/>
      <c r="E83" s="5">
        <f>IF(D83="", "", SUMIFS(Calendar!$E:$E, Calendar!$F:$F, D83))</f>
        <v/>
      </c>
      <c r="F83" s="5">
        <f>IF(D83="", "", COUNTIFS(Calendar!$F:$F, D83, Calendar!$E:$E, "&gt;0"))</f>
        <v/>
      </c>
      <c r="G83" s="4">
        <f>IF(D83="", "", COUNTIFS(Calendar!$F:$F, D83, Calendar!$B:$B, 7)&gt;0)</f>
        <v/>
      </c>
      <c r="H83" s="4">
        <f>IF(D83="", "", COUNTIFS(Calendar!$F:$F, D83+7, Calendar!$E:$E, "&gt;0")&gt;0)</f>
        <v/>
      </c>
      <c r="I83" s="5">
        <f>IF(D83="", "", IF(E83&gt;=15, IF(AND(H83, G83, F83&gt;0), (E83/F83)*$B$5, 0), 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사용법 (요약)</t>
        </is>
      </c>
    </row>
    <row r="3">
      <c r="A3" t="inlineStr">
        <is>
          <t>1) Input 시트에서 시작일/종료일, 시급, 휴게시간(분), 차감 여부, 예산을 입력합니다.</t>
        </is>
      </c>
    </row>
    <row r="4">
      <c r="A4" t="inlineStr">
        <is>
          <t>2) 요일별 근무여부(1/0)와 하루 소정시간을 입력하면, 유급시간(휴게 반영)이 자동 계산됩니다.</t>
        </is>
      </c>
    </row>
    <row r="5">
      <c r="A5" t="inlineStr">
        <is>
          <t>3) Calendar 시트가 시작~종료일까지 날짜별로 전개하여 유급시간을 합산합니다.</t>
        </is>
      </c>
    </row>
    <row r="6">
      <c r="A6" t="inlineStr">
        <is>
          <t>4) Summary 시트에서 기본급(십원 절삭), 주휴수당(조건 충족 주만), 총액, 예산 잔액을 확인합니다.</t>
        </is>
      </c>
    </row>
    <row r="7">
      <c r="A7" t="inlineStr">
        <is>
          <t xml:space="preserve">   - 주휴수당 산식: 해당 주 유급시간 합계≥15시간 AND 다음 주 근로 존재 AND 해당 주 일요일 포함 시,</t>
        </is>
      </c>
    </row>
    <row r="8">
      <c r="A8" t="inlineStr">
        <is>
          <t xml:space="preserve">     (그 주 평균 일일 유급시간 = 유급합계/실근로일수) × 시급을 그 주의 주휴수당으로 반영합니다.</t>
        </is>
      </c>
    </row>
    <row r="9">
      <c r="A9" t="inlineStr">
        <is>
          <t>5) '주 소정 근무시간 합계'는 Input 시트의 주간 패턴 기준(휴게 전/유급 기준) 합계입니다.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2025-11-12T14:11:23Z</dcterms:created>
  <dcterms:modified xmlns:dcterms="http://purl.org/dc/terms/" xmlns:xsi="http://www.w3.org/2001/XMLSchema-instance" xsi:type="dcterms:W3CDTF">2025-11-12T14:11:23Z</dcterms:modified>
</cp:coreProperties>
</file>