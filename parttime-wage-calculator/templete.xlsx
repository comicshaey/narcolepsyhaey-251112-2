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입력" sheetId="1" state="visible" r:id="rId1"/>
    <sheet xmlns:r="http://schemas.openxmlformats.org/officeDocument/2006/relationships" name="공휴일" sheetId="2" state="visible" r:id="rId2"/>
    <sheet xmlns:r="http://schemas.openxmlformats.org/officeDocument/2006/relationships" name="근무표" sheetId="3" state="visible" r:id="rId3"/>
    <sheet xmlns:r="http://schemas.openxmlformats.org/officeDocument/2006/relationships" name="요약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/>
    </xf>
    <xf numFmtId="164" fontId="0" fillId="0" borderId="1" pivotButton="0" quotePrefix="0" xfId="0"/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겨울방학 도우미 인건비 계산 (주중/주휴 예산 분리 + 자동 주휴수당)</t>
        </is>
      </c>
    </row>
    <row r="2">
      <c r="A2" s="2" t="inlineStr">
        <is>
          <t>주중 인건비 예산(원)</t>
        </is>
      </c>
      <c r="B2" s="3" t="n">
        <v>0</v>
      </c>
    </row>
    <row r="3">
      <c r="A3" s="2" t="inlineStr">
        <is>
          <t>주휴수당 예산(원)</t>
        </is>
      </c>
      <c r="B3" s="3" t="n">
        <v>0</v>
      </c>
    </row>
    <row r="4">
      <c r="A4" s="2" t="inlineStr">
        <is>
          <t>시작일</t>
        </is>
      </c>
      <c r="B4" s="3" t="inlineStr"/>
    </row>
    <row r="5">
      <c r="A5" s="2" t="inlineStr">
        <is>
          <t>종료일</t>
        </is>
      </c>
      <c r="B5" s="3" t="inlineStr"/>
    </row>
    <row r="6">
      <c r="A6" s="2" t="inlineStr">
        <is>
          <t>기본 시급(원)</t>
        </is>
      </c>
      <c r="B6" s="3" t="n">
        <v>10000</v>
      </c>
    </row>
    <row r="7">
      <c r="A7" s="2" t="inlineStr">
        <is>
          <t>자원봉사 시간 유급처리 (Y/N)</t>
        </is>
      </c>
      <c r="B7" s="3" t="inlineStr">
        <is>
          <t>N</t>
        </is>
      </c>
    </row>
    <row r="8">
      <c r="A8" s="2" t="inlineStr">
        <is>
          <t>주당 계약시간(예: 14)</t>
        </is>
      </c>
      <c r="B8" s="3" t="n">
        <v>14</v>
      </c>
    </row>
    <row r="9">
      <c r="A9" s="2" t="inlineStr">
        <is>
          <t>주당 계약일수(예: 5)</t>
        </is>
      </c>
      <c r="B9" s="3" t="n">
        <v>5</v>
      </c>
    </row>
    <row r="10">
      <c r="A10" s="2" t="inlineStr">
        <is>
          <t>주휴수당 적용여부(자동)</t>
        </is>
      </c>
      <c r="B10" s="3">
        <f>IF(B8+0&gt;=15,"Y","N")</f>
        <v/>
      </c>
    </row>
    <row r="11">
      <c r="A11" s="2" t="inlineStr">
        <is>
          <t>주말 휴무 기준 코드</t>
        </is>
      </c>
      <c r="B11" s="3" t="n">
        <v>1</v>
      </c>
    </row>
    <row r="12">
      <c r="A12" s="2" t="inlineStr">
        <is>
          <t>설명: 주말코드=1(토/일), 11(일요일만) 등</t>
        </is>
      </c>
      <c r="B12" s="3" t="inlineStr"/>
    </row>
    <row r="14">
      <c r="A14" s="4" t="inlineStr">
        <is>
          <t>메모/유의사항</t>
        </is>
      </c>
    </row>
    <row r="15">
      <c r="A15" s="5" t="inlineStr">
        <is>
          <t>• 주 15시간 이상이면 유급 주휴일이 인정될 수 있으며, 주당 주휴시간은 (해당 주의 유급 근로시간 ÷ 주당 계약일수)로 계산했습니다.
• 본 템플릿은 일정표에 입력된 '해당 주의 실제 유급 시간'을 기준으로 자동 산정합니다.
• 자원봉사 시간 유급처리를 Y로 설정하면 '자원봉사시간'도 유급 근로시간에 합산됩니다.
• 공휴일은 '공휴일' 시트에 입력하면 평일/휴일 표시 및 계획 수립에 참고할 수 있습니다.</t>
        </is>
      </c>
    </row>
    <row r="16"/>
    <row r="17"/>
    <row r="18"/>
  </sheetData>
  <mergeCells count="3">
    <mergeCell ref="A1:E1"/>
    <mergeCell ref="A14:E14"/>
    <mergeCell ref="A15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</cols>
  <sheetData>
    <row r="1">
      <c r="A1" s="4" t="inlineStr">
        <is>
          <t>공휴일(날짜)</t>
        </is>
      </c>
      <c r="B1" s="4" t="inlineStr">
        <is>
          <t>메모</t>
        </is>
      </c>
    </row>
    <row r="2">
      <c r="B2" t="inlineStr">
        <is>
          <t>예: 2025-12-25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61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6" customWidth="1" min="4" max="4"/>
    <col width="14" customWidth="1" min="5" max="5"/>
    <col width="20" customWidth="1" min="6" max="6"/>
    <col width="14" customWidth="1" min="7" max="7"/>
    <col width="12" customWidth="1" min="8" max="8"/>
    <col width="14" customWidth="1" min="9" max="9"/>
    <col width="14" customWidth="1" min="10" max="10"/>
    <col width="16" customWidth="1" min="11" max="11"/>
    <col width="16" customWidth="1" min="12" max="12"/>
    <col width="12" customWidth="1" min="13" max="13"/>
    <col width="16" customWidth="1" min="14" max="14"/>
    <col width="16" customWidth="1" min="15" max="15"/>
    <col width="18" customWidth="1" min="16" max="16"/>
  </cols>
  <sheetData>
    <row r="1">
      <c r="A1" s="6" t="inlineStr">
        <is>
          <t>날짜</t>
        </is>
      </c>
      <c r="B1" s="6" t="inlineStr">
        <is>
          <t>요일</t>
        </is>
      </c>
      <c r="C1" s="6" t="inlineStr">
        <is>
          <t>평일/휴일</t>
        </is>
      </c>
      <c r="D1" s="6" t="inlineStr">
        <is>
          <t>근로시간(유급)</t>
        </is>
      </c>
      <c r="E1" s="6" t="inlineStr">
        <is>
          <t>자원봉사시간</t>
        </is>
      </c>
      <c r="F1" s="6" t="inlineStr">
        <is>
          <t>유급처리된 자원봉사시간</t>
        </is>
      </c>
      <c r="G1" s="6" t="inlineStr">
        <is>
          <t>총 유급시간</t>
        </is>
      </c>
      <c r="H1" s="6" t="inlineStr">
        <is>
          <t>시급(원)</t>
        </is>
      </c>
      <c r="I1" s="6" t="inlineStr">
        <is>
          <t>일급(원)</t>
        </is>
      </c>
      <c r="J1" s="6" t="inlineStr">
        <is>
          <t>주 시작일(월)</t>
        </is>
      </c>
      <c r="K1" s="6" t="inlineStr">
        <is>
          <t>해당주 유급합계</t>
        </is>
      </c>
      <c r="L1" s="6" t="inlineStr">
        <is>
          <t>해당주 근무일수</t>
        </is>
      </c>
      <c r="M1" s="6" t="inlineStr">
        <is>
          <t>주휴 인정(Y/N)</t>
        </is>
      </c>
      <c r="N1" s="6" t="inlineStr">
        <is>
          <t>주휴시간(해당주)</t>
        </is>
      </c>
      <c r="O1" s="6" t="inlineStr">
        <is>
          <t>주휴수당(원)</t>
        </is>
      </c>
      <c r="P1" s="6" t="inlineStr">
        <is>
          <t>메모</t>
        </is>
      </c>
    </row>
    <row r="2">
      <c r="A2" s="7">
        <f>IF(ROW()-1&lt;=("입력"!B5-"입력"!B4+1),"입력"!B4+ROW()-2,"")</f>
        <v/>
      </c>
      <c r="B2" s="3">
        <f>IF(A2="","",TEXT(A2,"aaa"))</f>
        <v/>
      </c>
      <c r="C2" s="3">
        <f>IF(A2="","",IF(NETWORKDAYS.INTL(A2,A2,"입력"!B11,"공휴일"!A:A)=1,"평일","휴일"))</f>
        <v/>
      </c>
      <c r="D2" s="3" t="n">
        <v>0</v>
      </c>
      <c r="E2" s="3" t="n">
        <v>0</v>
      </c>
      <c r="F2" s="3">
        <f>IF("입력"!B7="Y",E2,0)</f>
        <v/>
      </c>
      <c r="G2" s="3">
        <f>D2+F2</f>
        <v/>
      </c>
      <c r="H2" s="3">
        <f>"입력"!B6</f>
        <v/>
      </c>
      <c r="I2" s="3">
        <f>G2*H2</f>
        <v/>
      </c>
      <c r="J2" s="7">
        <f>IF(A2="","",A2-WEEKDAY(A2,2)+1)</f>
        <v/>
      </c>
      <c r="K2" s="3">
        <f>IF(A2="","",SUMIFS($G:$G,$J:$J,J2))</f>
        <v/>
      </c>
      <c r="L2" s="3">
        <f>IF(A2="","",COUNTIFS($J:$J,J2,$G:$G,"&gt;0"))</f>
        <v/>
      </c>
      <c r="M2" s="3">
        <f>IF(A2="","",IF(K2&gt;=15,"Y","N"))</f>
        <v/>
      </c>
      <c r="N2" s="3">
        <f>IF(A2="","",IF(M2="Y",K2/"입력"!B9,0))</f>
        <v/>
      </c>
      <c r="O2" s="3">
        <f>IF(A2="","",IF(A2=J2,N2*H2,0))</f>
        <v/>
      </c>
      <c r="P2" s="3" t="inlineStr"/>
    </row>
    <row r="3">
      <c r="A3" s="7">
        <f>IF(ROW()-1&lt;=("입력"!B5-"입력"!B4+1),"입력"!B4+ROW()-2,"")</f>
        <v/>
      </c>
      <c r="B3" s="3">
        <f>IF(A3="","",TEXT(A3,"aaa"))</f>
        <v/>
      </c>
      <c r="C3" s="3">
        <f>IF(A3="","",IF(NETWORKDAYS.INTL(A3,A3,"입력"!B11,"공휴일"!A:A)=1,"평일","휴일"))</f>
        <v/>
      </c>
      <c r="D3" s="3" t="n">
        <v>0</v>
      </c>
      <c r="E3" s="3" t="n">
        <v>0</v>
      </c>
      <c r="F3" s="3">
        <f>IF("입력"!B7="Y",E3,0)</f>
        <v/>
      </c>
      <c r="G3" s="3">
        <f>D3+F3</f>
        <v/>
      </c>
      <c r="H3" s="3">
        <f>"입력"!B6</f>
        <v/>
      </c>
      <c r="I3" s="3">
        <f>G3*H3</f>
        <v/>
      </c>
      <c r="J3" s="7">
        <f>IF(A3="","",A3-WEEKDAY(A3,2)+1)</f>
        <v/>
      </c>
      <c r="K3" s="3">
        <f>IF(A3="","",SUMIFS($G:$G,$J:$J,J3))</f>
        <v/>
      </c>
      <c r="L3" s="3">
        <f>IF(A3="","",COUNTIFS($J:$J,J3,$G:$G,"&gt;0"))</f>
        <v/>
      </c>
      <c r="M3" s="3">
        <f>IF(A3="","",IF(K3&gt;=15,"Y","N"))</f>
        <v/>
      </c>
      <c r="N3" s="3">
        <f>IF(A3="","",IF(M3="Y",K3/"입력"!B9,0))</f>
        <v/>
      </c>
      <c r="O3" s="3">
        <f>IF(A3="","",IF(A3=J3,N3*H3,0))</f>
        <v/>
      </c>
      <c r="P3" s="3" t="inlineStr"/>
    </row>
    <row r="4">
      <c r="A4" s="7">
        <f>IF(ROW()-1&lt;=("입력"!B5-"입력"!B4+1),"입력"!B4+ROW()-2,"")</f>
        <v/>
      </c>
      <c r="B4" s="3">
        <f>IF(A4="","",TEXT(A4,"aaa"))</f>
        <v/>
      </c>
      <c r="C4" s="3">
        <f>IF(A4="","",IF(NETWORKDAYS.INTL(A4,A4,"입력"!B11,"공휴일"!A:A)=1,"평일","휴일"))</f>
        <v/>
      </c>
      <c r="D4" s="3" t="n">
        <v>0</v>
      </c>
      <c r="E4" s="3" t="n">
        <v>0</v>
      </c>
      <c r="F4" s="3">
        <f>IF("입력"!B7="Y",E4,0)</f>
        <v/>
      </c>
      <c r="G4" s="3">
        <f>D4+F4</f>
        <v/>
      </c>
      <c r="H4" s="3">
        <f>"입력"!B6</f>
        <v/>
      </c>
      <c r="I4" s="3">
        <f>G4*H4</f>
        <v/>
      </c>
      <c r="J4" s="7">
        <f>IF(A4="","",A4-WEEKDAY(A4,2)+1)</f>
        <v/>
      </c>
      <c r="K4" s="3">
        <f>IF(A4="","",SUMIFS($G:$G,$J:$J,J4))</f>
        <v/>
      </c>
      <c r="L4" s="3">
        <f>IF(A4="","",COUNTIFS($J:$J,J4,$G:$G,"&gt;0"))</f>
        <v/>
      </c>
      <c r="M4" s="3">
        <f>IF(A4="","",IF(K4&gt;=15,"Y","N"))</f>
        <v/>
      </c>
      <c r="N4" s="3">
        <f>IF(A4="","",IF(M4="Y",K4/"입력"!B9,0))</f>
        <v/>
      </c>
      <c r="O4" s="3">
        <f>IF(A4="","",IF(A4=J4,N4*H4,0))</f>
        <v/>
      </c>
      <c r="P4" s="3" t="inlineStr"/>
    </row>
    <row r="5">
      <c r="A5" s="7">
        <f>IF(ROW()-1&lt;=("입력"!B5-"입력"!B4+1),"입력"!B4+ROW()-2,"")</f>
        <v/>
      </c>
      <c r="B5" s="3">
        <f>IF(A5="","",TEXT(A5,"aaa"))</f>
        <v/>
      </c>
      <c r="C5" s="3">
        <f>IF(A5="","",IF(NETWORKDAYS.INTL(A5,A5,"입력"!B11,"공휴일"!A:A)=1,"평일","휴일"))</f>
        <v/>
      </c>
      <c r="D5" s="3" t="n">
        <v>0</v>
      </c>
      <c r="E5" s="3" t="n">
        <v>0</v>
      </c>
      <c r="F5" s="3">
        <f>IF("입력"!B7="Y",E5,0)</f>
        <v/>
      </c>
      <c r="G5" s="3">
        <f>D5+F5</f>
        <v/>
      </c>
      <c r="H5" s="3">
        <f>"입력"!B6</f>
        <v/>
      </c>
      <c r="I5" s="3">
        <f>G5*H5</f>
        <v/>
      </c>
      <c r="J5" s="7">
        <f>IF(A5="","",A5-WEEKDAY(A5,2)+1)</f>
        <v/>
      </c>
      <c r="K5" s="3">
        <f>IF(A5="","",SUMIFS($G:$G,$J:$J,J5))</f>
        <v/>
      </c>
      <c r="L5" s="3">
        <f>IF(A5="","",COUNTIFS($J:$J,J5,$G:$G,"&gt;0"))</f>
        <v/>
      </c>
      <c r="M5" s="3">
        <f>IF(A5="","",IF(K5&gt;=15,"Y","N"))</f>
        <v/>
      </c>
      <c r="N5" s="3">
        <f>IF(A5="","",IF(M5="Y",K5/"입력"!B9,0))</f>
        <v/>
      </c>
      <c r="O5" s="3">
        <f>IF(A5="","",IF(A5=J5,N5*H5,0))</f>
        <v/>
      </c>
      <c r="P5" s="3" t="inlineStr"/>
    </row>
    <row r="6">
      <c r="A6" s="7">
        <f>IF(ROW()-1&lt;=("입력"!B5-"입력"!B4+1),"입력"!B4+ROW()-2,"")</f>
        <v/>
      </c>
      <c r="B6" s="3">
        <f>IF(A6="","",TEXT(A6,"aaa"))</f>
        <v/>
      </c>
      <c r="C6" s="3">
        <f>IF(A6="","",IF(NETWORKDAYS.INTL(A6,A6,"입력"!B11,"공휴일"!A:A)=1,"평일","휴일"))</f>
        <v/>
      </c>
      <c r="D6" s="3" t="n">
        <v>0</v>
      </c>
      <c r="E6" s="3" t="n">
        <v>0</v>
      </c>
      <c r="F6" s="3">
        <f>IF("입력"!B7="Y",E6,0)</f>
        <v/>
      </c>
      <c r="G6" s="3">
        <f>D6+F6</f>
        <v/>
      </c>
      <c r="H6" s="3">
        <f>"입력"!B6</f>
        <v/>
      </c>
      <c r="I6" s="3">
        <f>G6*H6</f>
        <v/>
      </c>
      <c r="J6" s="7">
        <f>IF(A6="","",A6-WEEKDAY(A6,2)+1)</f>
        <v/>
      </c>
      <c r="K6" s="3">
        <f>IF(A6="","",SUMIFS($G:$G,$J:$J,J6))</f>
        <v/>
      </c>
      <c r="L6" s="3">
        <f>IF(A6="","",COUNTIFS($J:$J,J6,$G:$G,"&gt;0"))</f>
        <v/>
      </c>
      <c r="M6" s="3">
        <f>IF(A6="","",IF(K6&gt;=15,"Y","N"))</f>
        <v/>
      </c>
      <c r="N6" s="3">
        <f>IF(A6="","",IF(M6="Y",K6/"입력"!B9,0))</f>
        <v/>
      </c>
      <c r="O6" s="3">
        <f>IF(A6="","",IF(A6=J6,N6*H6,0))</f>
        <v/>
      </c>
      <c r="P6" s="3" t="inlineStr"/>
    </row>
    <row r="7">
      <c r="A7" s="7">
        <f>IF(ROW()-1&lt;=("입력"!B5-"입력"!B4+1),"입력"!B4+ROW()-2,"")</f>
        <v/>
      </c>
      <c r="B7" s="3">
        <f>IF(A7="","",TEXT(A7,"aaa"))</f>
        <v/>
      </c>
      <c r="C7" s="3">
        <f>IF(A7="","",IF(NETWORKDAYS.INTL(A7,A7,"입력"!B11,"공휴일"!A:A)=1,"평일","휴일"))</f>
        <v/>
      </c>
      <c r="D7" s="3" t="n">
        <v>0</v>
      </c>
      <c r="E7" s="3" t="n">
        <v>0</v>
      </c>
      <c r="F7" s="3">
        <f>IF("입력"!B7="Y",E7,0)</f>
        <v/>
      </c>
      <c r="G7" s="3">
        <f>D7+F7</f>
        <v/>
      </c>
      <c r="H7" s="3">
        <f>"입력"!B6</f>
        <v/>
      </c>
      <c r="I7" s="3">
        <f>G7*H7</f>
        <v/>
      </c>
      <c r="J7" s="7">
        <f>IF(A7="","",A7-WEEKDAY(A7,2)+1)</f>
        <v/>
      </c>
      <c r="K7" s="3">
        <f>IF(A7="","",SUMIFS($G:$G,$J:$J,J7))</f>
        <v/>
      </c>
      <c r="L7" s="3">
        <f>IF(A7="","",COUNTIFS($J:$J,J7,$G:$G,"&gt;0"))</f>
        <v/>
      </c>
      <c r="M7" s="3">
        <f>IF(A7="","",IF(K7&gt;=15,"Y","N"))</f>
        <v/>
      </c>
      <c r="N7" s="3">
        <f>IF(A7="","",IF(M7="Y",K7/"입력"!B9,0))</f>
        <v/>
      </c>
      <c r="O7" s="3">
        <f>IF(A7="","",IF(A7=J7,N7*H7,0))</f>
        <v/>
      </c>
      <c r="P7" s="3" t="inlineStr"/>
    </row>
    <row r="8">
      <c r="A8" s="7">
        <f>IF(ROW()-1&lt;=("입력"!B5-"입력"!B4+1),"입력"!B4+ROW()-2,"")</f>
        <v/>
      </c>
      <c r="B8" s="3">
        <f>IF(A8="","",TEXT(A8,"aaa"))</f>
        <v/>
      </c>
      <c r="C8" s="3">
        <f>IF(A8="","",IF(NETWORKDAYS.INTL(A8,A8,"입력"!B11,"공휴일"!A:A)=1,"평일","휴일"))</f>
        <v/>
      </c>
      <c r="D8" s="3" t="n">
        <v>0</v>
      </c>
      <c r="E8" s="3" t="n">
        <v>0</v>
      </c>
      <c r="F8" s="3">
        <f>IF("입력"!B7="Y",E8,0)</f>
        <v/>
      </c>
      <c r="G8" s="3">
        <f>D8+F8</f>
        <v/>
      </c>
      <c r="H8" s="3">
        <f>"입력"!B6</f>
        <v/>
      </c>
      <c r="I8" s="3">
        <f>G8*H8</f>
        <v/>
      </c>
      <c r="J8" s="7">
        <f>IF(A8="","",A8-WEEKDAY(A8,2)+1)</f>
        <v/>
      </c>
      <c r="K8" s="3">
        <f>IF(A8="","",SUMIFS($G:$G,$J:$J,J8))</f>
        <v/>
      </c>
      <c r="L8" s="3">
        <f>IF(A8="","",COUNTIFS($J:$J,J8,$G:$G,"&gt;0"))</f>
        <v/>
      </c>
      <c r="M8" s="3">
        <f>IF(A8="","",IF(K8&gt;=15,"Y","N"))</f>
        <v/>
      </c>
      <c r="N8" s="3">
        <f>IF(A8="","",IF(M8="Y",K8/"입력"!B9,0))</f>
        <v/>
      </c>
      <c r="O8" s="3">
        <f>IF(A8="","",IF(A8=J8,N8*H8,0))</f>
        <v/>
      </c>
      <c r="P8" s="3" t="inlineStr"/>
    </row>
    <row r="9">
      <c r="A9" s="7">
        <f>IF(ROW()-1&lt;=("입력"!B5-"입력"!B4+1),"입력"!B4+ROW()-2,"")</f>
        <v/>
      </c>
      <c r="B9" s="3">
        <f>IF(A9="","",TEXT(A9,"aaa"))</f>
        <v/>
      </c>
      <c r="C9" s="3">
        <f>IF(A9="","",IF(NETWORKDAYS.INTL(A9,A9,"입력"!B11,"공휴일"!A:A)=1,"평일","휴일"))</f>
        <v/>
      </c>
      <c r="D9" s="3" t="n">
        <v>0</v>
      </c>
      <c r="E9" s="3" t="n">
        <v>0</v>
      </c>
      <c r="F9" s="3">
        <f>IF("입력"!B7="Y",E9,0)</f>
        <v/>
      </c>
      <c r="G9" s="3">
        <f>D9+F9</f>
        <v/>
      </c>
      <c r="H9" s="3">
        <f>"입력"!B6</f>
        <v/>
      </c>
      <c r="I9" s="3">
        <f>G9*H9</f>
        <v/>
      </c>
      <c r="J9" s="7">
        <f>IF(A9="","",A9-WEEKDAY(A9,2)+1)</f>
        <v/>
      </c>
      <c r="K9" s="3">
        <f>IF(A9="","",SUMIFS($G:$G,$J:$J,J9))</f>
        <v/>
      </c>
      <c r="L9" s="3">
        <f>IF(A9="","",COUNTIFS($J:$J,J9,$G:$G,"&gt;0"))</f>
        <v/>
      </c>
      <c r="M9" s="3">
        <f>IF(A9="","",IF(K9&gt;=15,"Y","N"))</f>
        <v/>
      </c>
      <c r="N9" s="3">
        <f>IF(A9="","",IF(M9="Y",K9/"입력"!B9,0))</f>
        <v/>
      </c>
      <c r="O9" s="3">
        <f>IF(A9="","",IF(A9=J9,N9*H9,0))</f>
        <v/>
      </c>
      <c r="P9" s="3" t="inlineStr"/>
    </row>
    <row r="10">
      <c r="A10" s="7">
        <f>IF(ROW()-1&lt;=("입력"!B5-"입력"!B4+1),"입력"!B4+ROW()-2,"")</f>
        <v/>
      </c>
      <c r="B10" s="3">
        <f>IF(A10="","",TEXT(A10,"aaa"))</f>
        <v/>
      </c>
      <c r="C10" s="3">
        <f>IF(A10="","",IF(NETWORKDAYS.INTL(A10,A10,"입력"!B11,"공휴일"!A:A)=1,"평일","휴일"))</f>
        <v/>
      </c>
      <c r="D10" s="3" t="n">
        <v>0</v>
      </c>
      <c r="E10" s="3" t="n">
        <v>0</v>
      </c>
      <c r="F10" s="3">
        <f>IF("입력"!B7="Y",E10,0)</f>
        <v/>
      </c>
      <c r="G10" s="3">
        <f>D10+F10</f>
        <v/>
      </c>
      <c r="H10" s="3">
        <f>"입력"!B6</f>
        <v/>
      </c>
      <c r="I10" s="3">
        <f>G10*H10</f>
        <v/>
      </c>
      <c r="J10" s="7">
        <f>IF(A10="","",A10-WEEKDAY(A10,2)+1)</f>
        <v/>
      </c>
      <c r="K10" s="3">
        <f>IF(A10="","",SUMIFS($G:$G,$J:$J,J10))</f>
        <v/>
      </c>
      <c r="L10" s="3">
        <f>IF(A10="","",COUNTIFS($J:$J,J10,$G:$G,"&gt;0"))</f>
        <v/>
      </c>
      <c r="M10" s="3">
        <f>IF(A10="","",IF(K10&gt;=15,"Y","N"))</f>
        <v/>
      </c>
      <c r="N10" s="3">
        <f>IF(A10="","",IF(M10="Y",K10/"입력"!B9,0))</f>
        <v/>
      </c>
      <c r="O10" s="3">
        <f>IF(A10="","",IF(A10=J10,N10*H10,0))</f>
        <v/>
      </c>
      <c r="P10" s="3" t="inlineStr"/>
    </row>
    <row r="11">
      <c r="A11" s="7">
        <f>IF(ROW()-1&lt;=("입력"!B5-"입력"!B4+1),"입력"!B4+ROW()-2,"")</f>
        <v/>
      </c>
      <c r="B11" s="3">
        <f>IF(A11="","",TEXT(A11,"aaa"))</f>
        <v/>
      </c>
      <c r="C11" s="3">
        <f>IF(A11="","",IF(NETWORKDAYS.INTL(A11,A11,"입력"!B11,"공휴일"!A:A)=1,"평일","휴일"))</f>
        <v/>
      </c>
      <c r="D11" s="3" t="n">
        <v>0</v>
      </c>
      <c r="E11" s="3" t="n">
        <v>0</v>
      </c>
      <c r="F11" s="3">
        <f>IF("입력"!B7="Y",E11,0)</f>
        <v/>
      </c>
      <c r="G11" s="3">
        <f>D11+F11</f>
        <v/>
      </c>
      <c r="H11" s="3">
        <f>"입력"!B6</f>
        <v/>
      </c>
      <c r="I11" s="3">
        <f>G11*H11</f>
        <v/>
      </c>
      <c r="J11" s="7">
        <f>IF(A11="","",A11-WEEKDAY(A11,2)+1)</f>
        <v/>
      </c>
      <c r="K11" s="3">
        <f>IF(A11="","",SUMIFS($G:$G,$J:$J,J11))</f>
        <v/>
      </c>
      <c r="L11" s="3">
        <f>IF(A11="","",COUNTIFS($J:$J,J11,$G:$G,"&gt;0"))</f>
        <v/>
      </c>
      <c r="M11" s="3">
        <f>IF(A11="","",IF(K11&gt;=15,"Y","N"))</f>
        <v/>
      </c>
      <c r="N11" s="3">
        <f>IF(A11="","",IF(M11="Y",K11/"입력"!B9,0))</f>
        <v/>
      </c>
      <c r="O11" s="3">
        <f>IF(A11="","",IF(A11=J11,N11*H11,0))</f>
        <v/>
      </c>
      <c r="P11" s="3" t="inlineStr"/>
    </row>
    <row r="12">
      <c r="A12" s="7">
        <f>IF(ROW()-1&lt;=("입력"!B5-"입력"!B4+1),"입력"!B4+ROW()-2,"")</f>
        <v/>
      </c>
      <c r="B12" s="3">
        <f>IF(A12="","",TEXT(A12,"aaa"))</f>
        <v/>
      </c>
      <c r="C12" s="3">
        <f>IF(A12="","",IF(NETWORKDAYS.INTL(A12,A12,"입력"!B11,"공휴일"!A:A)=1,"평일","휴일"))</f>
        <v/>
      </c>
      <c r="D12" s="3" t="n">
        <v>0</v>
      </c>
      <c r="E12" s="3" t="n">
        <v>0</v>
      </c>
      <c r="F12" s="3">
        <f>IF("입력"!B7="Y",E12,0)</f>
        <v/>
      </c>
      <c r="G12" s="3">
        <f>D12+F12</f>
        <v/>
      </c>
      <c r="H12" s="3">
        <f>"입력"!B6</f>
        <v/>
      </c>
      <c r="I12" s="3">
        <f>G12*H12</f>
        <v/>
      </c>
      <c r="J12" s="7">
        <f>IF(A12="","",A12-WEEKDAY(A12,2)+1)</f>
        <v/>
      </c>
      <c r="K12" s="3">
        <f>IF(A12="","",SUMIFS($G:$G,$J:$J,J12))</f>
        <v/>
      </c>
      <c r="L12" s="3">
        <f>IF(A12="","",COUNTIFS($J:$J,J12,$G:$G,"&gt;0"))</f>
        <v/>
      </c>
      <c r="M12" s="3">
        <f>IF(A12="","",IF(K12&gt;=15,"Y","N"))</f>
        <v/>
      </c>
      <c r="N12" s="3">
        <f>IF(A12="","",IF(M12="Y",K12/"입력"!B9,0))</f>
        <v/>
      </c>
      <c r="O12" s="3">
        <f>IF(A12="","",IF(A12=J12,N12*H12,0))</f>
        <v/>
      </c>
      <c r="P12" s="3" t="inlineStr"/>
    </row>
    <row r="13">
      <c r="A13" s="7">
        <f>IF(ROW()-1&lt;=("입력"!B5-"입력"!B4+1),"입력"!B4+ROW()-2,"")</f>
        <v/>
      </c>
      <c r="B13" s="3">
        <f>IF(A13="","",TEXT(A13,"aaa"))</f>
        <v/>
      </c>
      <c r="C13" s="3">
        <f>IF(A13="","",IF(NETWORKDAYS.INTL(A13,A13,"입력"!B11,"공휴일"!A:A)=1,"평일","휴일"))</f>
        <v/>
      </c>
      <c r="D13" s="3" t="n">
        <v>0</v>
      </c>
      <c r="E13" s="3" t="n">
        <v>0</v>
      </c>
      <c r="F13" s="3">
        <f>IF("입력"!B7="Y",E13,0)</f>
        <v/>
      </c>
      <c r="G13" s="3">
        <f>D13+F13</f>
        <v/>
      </c>
      <c r="H13" s="3">
        <f>"입력"!B6</f>
        <v/>
      </c>
      <c r="I13" s="3">
        <f>G13*H13</f>
        <v/>
      </c>
      <c r="J13" s="7">
        <f>IF(A13="","",A13-WEEKDAY(A13,2)+1)</f>
        <v/>
      </c>
      <c r="K13" s="3">
        <f>IF(A13="","",SUMIFS($G:$G,$J:$J,J13))</f>
        <v/>
      </c>
      <c r="L13" s="3">
        <f>IF(A13="","",COUNTIFS($J:$J,J13,$G:$G,"&gt;0"))</f>
        <v/>
      </c>
      <c r="M13" s="3">
        <f>IF(A13="","",IF(K13&gt;=15,"Y","N"))</f>
        <v/>
      </c>
      <c r="N13" s="3">
        <f>IF(A13="","",IF(M13="Y",K13/"입력"!B9,0))</f>
        <v/>
      </c>
      <c r="O13" s="3">
        <f>IF(A13="","",IF(A13=J13,N13*H13,0))</f>
        <v/>
      </c>
      <c r="P13" s="3" t="inlineStr"/>
    </row>
    <row r="14">
      <c r="A14" s="7">
        <f>IF(ROW()-1&lt;=("입력"!B5-"입력"!B4+1),"입력"!B4+ROW()-2,"")</f>
        <v/>
      </c>
      <c r="B14" s="3">
        <f>IF(A14="","",TEXT(A14,"aaa"))</f>
        <v/>
      </c>
      <c r="C14" s="3">
        <f>IF(A14="","",IF(NETWORKDAYS.INTL(A14,A14,"입력"!B11,"공휴일"!A:A)=1,"평일","휴일"))</f>
        <v/>
      </c>
      <c r="D14" s="3" t="n">
        <v>0</v>
      </c>
      <c r="E14" s="3" t="n">
        <v>0</v>
      </c>
      <c r="F14" s="3">
        <f>IF("입력"!B7="Y",E14,0)</f>
        <v/>
      </c>
      <c r="G14" s="3">
        <f>D14+F14</f>
        <v/>
      </c>
      <c r="H14" s="3">
        <f>"입력"!B6</f>
        <v/>
      </c>
      <c r="I14" s="3">
        <f>G14*H14</f>
        <v/>
      </c>
      <c r="J14" s="7">
        <f>IF(A14="","",A14-WEEKDAY(A14,2)+1)</f>
        <v/>
      </c>
      <c r="K14" s="3">
        <f>IF(A14="","",SUMIFS($G:$G,$J:$J,J14))</f>
        <v/>
      </c>
      <c r="L14" s="3">
        <f>IF(A14="","",COUNTIFS($J:$J,J14,$G:$G,"&gt;0"))</f>
        <v/>
      </c>
      <c r="M14" s="3">
        <f>IF(A14="","",IF(K14&gt;=15,"Y","N"))</f>
        <v/>
      </c>
      <c r="N14" s="3">
        <f>IF(A14="","",IF(M14="Y",K14/"입력"!B9,0))</f>
        <v/>
      </c>
      <c r="O14" s="3">
        <f>IF(A14="","",IF(A14=J14,N14*H14,0))</f>
        <v/>
      </c>
      <c r="P14" s="3" t="inlineStr"/>
    </row>
    <row r="15">
      <c r="A15" s="7">
        <f>IF(ROW()-1&lt;=("입력"!B5-"입력"!B4+1),"입력"!B4+ROW()-2,"")</f>
        <v/>
      </c>
      <c r="B15" s="3">
        <f>IF(A15="","",TEXT(A15,"aaa"))</f>
        <v/>
      </c>
      <c r="C15" s="3">
        <f>IF(A15="","",IF(NETWORKDAYS.INTL(A15,A15,"입력"!B11,"공휴일"!A:A)=1,"평일","휴일"))</f>
        <v/>
      </c>
      <c r="D15" s="3" t="n">
        <v>0</v>
      </c>
      <c r="E15" s="3" t="n">
        <v>0</v>
      </c>
      <c r="F15" s="3">
        <f>IF("입력"!B7="Y",E15,0)</f>
        <v/>
      </c>
      <c r="G15" s="3">
        <f>D15+F15</f>
        <v/>
      </c>
      <c r="H15" s="3">
        <f>"입력"!B6</f>
        <v/>
      </c>
      <c r="I15" s="3">
        <f>G15*H15</f>
        <v/>
      </c>
      <c r="J15" s="7">
        <f>IF(A15="","",A15-WEEKDAY(A15,2)+1)</f>
        <v/>
      </c>
      <c r="K15" s="3">
        <f>IF(A15="","",SUMIFS($G:$G,$J:$J,J15))</f>
        <v/>
      </c>
      <c r="L15" s="3">
        <f>IF(A15="","",COUNTIFS($J:$J,J15,$G:$G,"&gt;0"))</f>
        <v/>
      </c>
      <c r="M15" s="3">
        <f>IF(A15="","",IF(K15&gt;=15,"Y","N"))</f>
        <v/>
      </c>
      <c r="N15" s="3">
        <f>IF(A15="","",IF(M15="Y",K15/"입력"!B9,0))</f>
        <v/>
      </c>
      <c r="O15" s="3">
        <f>IF(A15="","",IF(A15=J15,N15*H15,0))</f>
        <v/>
      </c>
      <c r="P15" s="3" t="inlineStr"/>
    </row>
    <row r="16">
      <c r="A16" s="7">
        <f>IF(ROW()-1&lt;=("입력"!B5-"입력"!B4+1),"입력"!B4+ROW()-2,"")</f>
        <v/>
      </c>
      <c r="B16" s="3">
        <f>IF(A16="","",TEXT(A16,"aaa"))</f>
        <v/>
      </c>
      <c r="C16" s="3">
        <f>IF(A16="","",IF(NETWORKDAYS.INTL(A16,A16,"입력"!B11,"공휴일"!A:A)=1,"평일","휴일"))</f>
        <v/>
      </c>
      <c r="D16" s="3" t="n">
        <v>0</v>
      </c>
      <c r="E16" s="3" t="n">
        <v>0</v>
      </c>
      <c r="F16" s="3">
        <f>IF("입력"!B7="Y",E16,0)</f>
        <v/>
      </c>
      <c r="G16" s="3">
        <f>D16+F16</f>
        <v/>
      </c>
      <c r="H16" s="3">
        <f>"입력"!B6</f>
        <v/>
      </c>
      <c r="I16" s="3">
        <f>G16*H16</f>
        <v/>
      </c>
      <c r="J16" s="7">
        <f>IF(A16="","",A16-WEEKDAY(A16,2)+1)</f>
        <v/>
      </c>
      <c r="K16" s="3">
        <f>IF(A16="","",SUMIFS($G:$G,$J:$J,J16))</f>
        <v/>
      </c>
      <c r="L16" s="3">
        <f>IF(A16="","",COUNTIFS($J:$J,J16,$G:$G,"&gt;0"))</f>
        <v/>
      </c>
      <c r="M16" s="3">
        <f>IF(A16="","",IF(K16&gt;=15,"Y","N"))</f>
        <v/>
      </c>
      <c r="N16" s="3">
        <f>IF(A16="","",IF(M16="Y",K16/"입력"!B9,0))</f>
        <v/>
      </c>
      <c r="O16" s="3">
        <f>IF(A16="","",IF(A16=J16,N16*H16,0))</f>
        <v/>
      </c>
      <c r="P16" s="3" t="inlineStr"/>
    </row>
    <row r="17">
      <c r="A17" s="7">
        <f>IF(ROW()-1&lt;=("입력"!B5-"입력"!B4+1),"입력"!B4+ROW()-2,"")</f>
        <v/>
      </c>
      <c r="B17" s="3">
        <f>IF(A17="","",TEXT(A17,"aaa"))</f>
        <v/>
      </c>
      <c r="C17" s="3">
        <f>IF(A17="","",IF(NETWORKDAYS.INTL(A17,A17,"입력"!B11,"공휴일"!A:A)=1,"평일","휴일"))</f>
        <v/>
      </c>
      <c r="D17" s="3" t="n">
        <v>0</v>
      </c>
      <c r="E17" s="3" t="n">
        <v>0</v>
      </c>
      <c r="F17" s="3">
        <f>IF("입력"!B7="Y",E17,0)</f>
        <v/>
      </c>
      <c r="G17" s="3">
        <f>D17+F17</f>
        <v/>
      </c>
      <c r="H17" s="3">
        <f>"입력"!B6</f>
        <v/>
      </c>
      <c r="I17" s="3">
        <f>G17*H17</f>
        <v/>
      </c>
      <c r="J17" s="7">
        <f>IF(A17="","",A17-WEEKDAY(A17,2)+1)</f>
        <v/>
      </c>
      <c r="K17" s="3">
        <f>IF(A17="","",SUMIFS($G:$G,$J:$J,J17))</f>
        <v/>
      </c>
      <c r="L17" s="3">
        <f>IF(A17="","",COUNTIFS($J:$J,J17,$G:$G,"&gt;0"))</f>
        <v/>
      </c>
      <c r="M17" s="3">
        <f>IF(A17="","",IF(K17&gt;=15,"Y","N"))</f>
        <v/>
      </c>
      <c r="N17" s="3">
        <f>IF(A17="","",IF(M17="Y",K17/"입력"!B9,0))</f>
        <v/>
      </c>
      <c r="O17" s="3">
        <f>IF(A17="","",IF(A17=J17,N17*H17,0))</f>
        <v/>
      </c>
      <c r="P17" s="3" t="inlineStr"/>
    </row>
    <row r="18">
      <c r="A18" s="7">
        <f>IF(ROW()-1&lt;=("입력"!B5-"입력"!B4+1),"입력"!B4+ROW()-2,"")</f>
        <v/>
      </c>
      <c r="B18" s="3">
        <f>IF(A18="","",TEXT(A18,"aaa"))</f>
        <v/>
      </c>
      <c r="C18" s="3">
        <f>IF(A18="","",IF(NETWORKDAYS.INTL(A18,A18,"입력"!B11,"공휴일"!A:A)=1,"평일","휴일"))</f>
        <v/>
      </c>
      <c r="D18" s="3" t="n">
        <v>0</v>
      </c>
      <c r="E18" s="3" t="n">
        <v>0</v>
      </c>
      <c r="F18" s="3">
        <f>IF("입력"!B7="Y",E18,0)</f>
        <v/>
      </c>
      <c r="G18" s="3">
        <f>D18+F18</f>
        <v/>
      </c>
      <c r="H18" s="3">
        <f>"입력"!B6</f>
        <v/>
      </c>
      <c r="I18" s="3">
        <f>G18*H18</f>
        <v/>
      </c>
      <c r="J18" s="7">
        <f>IF(A18="","",A18-WEEKDAY(A18,2)+1)</f>
        <v/>
      </c>
      <c r="K18" s="3">
        <f>IF(A18="","",SUMIFS($G:$G,$J:$J,J18))</f>
        <v/>
      </c>
      <c r="L18" s="3">
        <f>IF(A18="","",COUNTIFS($J:$J,J18,$G:$G,"&gt;0"))</f>
        <v/>
      </c>
      <c r="M18" s="3">
        <f>IF(A18="","",IF(K18&gt;=15,"Y","N"))</f>
        <v/>
      </c>
      <c r="N18" s="3">
        <f>IF(A18="","",IF(M18="Y",K18/"입력"!B9,0))</f>
        <v/>
      </c>
      <c r="O18" s="3">
        <f>IF(A18="","",IF(A18=J18,N18*H18,0))</f>
        <v/>
      </c>
      <c r="P18" s="3" t="inlineStr"/>
    </row>
    <row r="19">
      <c r="A19" s="7">
        <f>IF(ROW()-1&lt;=("입력"!B5-"입력"!B4+1),"입력"!B4+ROW()-2,"")</f>
        <v/>
      </c>
      <c r="B19" s="3">
        <f>IF(A19="","",TEXT(A19,"aaa"))</f>
        <v/>
      </c>
      <c r="C19" s="3">
        <f>IF(A19="","",IF(NETWORKDAYS.INTL(A19,A19,"입력"!B11,"공휴일"!A:A)=1,"평일","휴일"))</f>
        <v/>
      </c>
      <c r="D19" s="3" t="n">
        <v>0</v>
      </c>
      <c r="E19" s="3" t="n">
        <v>0</v>
      </c>
      <c r="F19" s="3">
        <f>IF("입력"!B7="Y",E19,0)</f>
        <v/>
      </c>
      <c r="G19" s="3">
        <f>D19+F19</f>
        <v/>
      </c>
      <c r="H19" s="3">
        <f>"입력"!B6</f>
        <v/>
      </c>
      <c r="I19" s="3">
        <f>G19*H19</f>
        <v/>
      </c>
      <c r="J19" s="7">
        <f>IF(A19="","",A19-WEEKDAY(A19,2)+1)</f>
        <v/>
      </c>
      <c r="K19" s="3">
        <f>IF(A19="","",SUMIFS($G:$G,$J:$J,J19))</f>
        <v/>
      </c>
      <c r="L19" s="3">
        <f>IF(A19="","",COUNTIFS($J:$J,J19,$G:$G,"&gt;0"))</f>
        <v/>
      </c>
      <c r="M19" s="3">
        <f>IF(A19="","",IF(K19&gt;=15,"Y","N"))</f>
        <v/>
      </c>
      <c r="N19" s="3">
        <f>IF(A19="","",IF(M19="Y",K19/"입력"!B9,0))</f>
        <v/>
      </c>
      <c r="O19" s="3">
        <f>IF(A19="","",IF(A19=J19,N19*H19,0))</f>
        <v/>
      </c>
      <c r="P19" s="3" t="inlineStr"/>
    </row>
    <row r="20">
      <c r="A20" s="7">
        <f>IF(ROW()-1&lt;=("입력"!B5-"입력"!B4+1),"입력"!B4+ROW()-2,"")</f>
        <v/>
      </c>
      <c r="B20" s="3">
        <f>IF(A20="","",TEXT(A20,"aaa"))</f>
        <v/>
      </c>
      <c r="C20" s="3">
        <f>IF(A20="","",IF(NETWORKDAYS.INTL(A20,A20,"입력"!B11,"공휴일"!A:A)=1,"평일","휴일"))</f>
        <v/>
      </c>
      <c r="D20" s="3" t="n">
        <v>0</v>
      </c>
      <c r="E20" s="3" t="n">
        <v>0</v>
      </c>
      <c r="F20" s="3">
        <f>IF("입력"!B7="Y",E20,0)</f>
        <v/>
      </c>
      <c r="G20" s="3">
        <f>D20+F20</f>
        <v/>
      </c>
      <c r="H20" s="3">
        <f>"입력"!B6</f>
        <v/>
      </c>
      <c r="I20" s="3">
        <f>G20*H20</f>
        <v/>
      </c>
      <c r="J20" s="7">
        <f>IF(A20="","",A20-WEEKDAY(A20,2)+1)</f>
        <v/>
      </c>
      <c r="K20" s="3">
        <f>IF(A20="","",SUMIFS($G:$G,$J:$J,J20))</f>
        <v/>
      </c>
      <c r="L20" s="3">
        <f>IF(A20="","",COUNTIFS($J:$J,J20,$G:$G,"&gt;0"))</f>
        <v/>
      </c>
      <c r="M20" s="3">
        <f>IF(A20="","",IF(K20&gt;=15,"Y","N"))</f>
        <v/>
      </c>
      <c r="N20" s="3">
        <f>IF(A20="","",IF(M20="Y",K20/"입력"!B9,0))</f>
        <v/>
      </c>
      <c r="O20" s="3">
        <f>IF(A20="","",IF(A20=J20,N20*H20,0))</f>
        <v/>
      </c>
      <c r="P20" s="3" t="inlineStr"/>
    </row>
    <row r="21">
      <c r="A21" s="7">
        <f>IF(ROW()-1&lt;=("입력"!B5-"입력"!B4+1),"입력"!B4+ROW()-2,"")</f>
        <v/>
      </c>
      <c r="B21" s="3">
        <f>IF(A21="","",TEXT(A21,"aaa"))</f>
        <v/>
      </c>
      <c r="C21" s="3">
        <f>IF(A21="","",IF(NETWORKDAYS.INTL(A21,A21,"입력"!B11,"공휴일"!A:A)=1,"평일","휴일"))</f>
        <v/>
      </c>
      <c r="D21" s="3" t="n">
        <v>0</v>
      </c>
      <c r="E21" s="3" t="n">
        <v>0</v>
      </c>
      <c r="F21" s="3">
        <f>IF("입력"!B7="Y",E21,0)</f>
        <v/>
      </c>
      <c r="G21" s="3">
        <f>D21+F21</f>
        <v/>
      </c>
      <c r="H21" s="3">
        <f>"입력"!B6</f>
        <v/>
      </c>
      <c r="I21" s="3">
        <f>G21*H21</f>
        <v/>
      </c>
      <c r="J21" s="7">
        <f>IF(A21="","",A21-WEEKDAY(A21,2)+1)</f>
        <v/>
      </c>
      <c r="K21" s="3">
        <f>IF(A21="","",SUMIFS($G:$G,$J:$J,J21))</f>
        <v/>
      </c>
      <c r="L21" s="3">
        <f>IF(A21="","",COUNTIFS($J:$J,J21,$G:$G,"&gt;0"))</f>
        <v/>
      </c>
      <c r="M21" s="3">
        <f>IF(A21="","",IF(K21&gt;=15,"Y","N"))</f>
        <v/>
      </c>
      <c r="N21" s="3">
        <f>IF(A21="","",IF(M21="Y",K21/"입력"!B9,0))</f>
        <v/>
      </c>
      <c r="O21" s="3">
        <f>IF(A21="","",IF(A21=J21,N21*H21,0))</f>
        <v/>
      </c>
      <c r="P21" s="3" t="inlineStr"/>
    </row>
    <row r="22">
      <c r="A22" s="7">
        <f>IF(ROW()-1&lt;=("입력"!B5-"입력"!B4+1),"입력"!B4+ROW()-2,"")</f>
        <v/>
      </c>
      <c r="B22" s="3">
        <f>IF(A22="","",TEXT(A22,"aaa"))</f>
        <v/>
      </c>
      <c r="C22" s="3">
        <f>IF(A22="","",IF(NETWORKDAYS.INTL(A22,A22,"입력"!B11,"공휴일"!A:A)=1,"평일","휴일"))</f>
        <v/>
      </c>
      <c r="D22" s="3" t="n">
        <v>0</v>
      </c>
      <c r="E22" s="3" t="n">
        <v>0</v>
      </c>
      <c r="F22" s="3">
        <f>IF("입력"!B7="Y",E22,0)</f>
        <v/>
      </c>
      <c r="G22" s="3">
        <f>D22+F22</f>
        <v/>
      </c>
      <c r="H22" s="3">
        <f>"입력"!B6</f>
        <v/>
      </c>
      <c r="I22" s="3">
        <f>G22*H22</f>
        <v/>
      </c>
      <c r="J22" s="7">
        <f>IF(A22="","",A22-WEEKDAY(A22,2)+1)</f>
        <v/>
      </c>
      <c r="K22" s="3">
        <f>IF(A22="","",SUMIFS($G:$G,$J:$J,J22))</f>
        <v/>
      </c>
      <c r="L22" s="3">
        <f>IF(A22="","",COUNTIFS($J:$J,J22,$G:$G,"&gt;0"))</f>
        <v/>
      </c>
      <c r="M22" s="3">
        <f>IF(A22="","",IF(K22&gt;=15,"Y","N"))</f>
        <v/>
      </c>
      <c r="N22" s="3">
        <f>IF(A22="","",IF(M22="Y",K22/"입력"!B9,0))</f>
        <v/>
      </c>
      <c r="O22" s="3">
        <f>IF(A22="","",IF(A22=J22,N22*H22,0))</f>
        <v/>
      </c>
      <c r="P22" s="3" t="inlineStr"/>
    </row>
    <row r="23">
      <c r="A23" s="7">
        <f>IF(ROW()-1&lt;=("입력"!B5-"입력"!B4+1),"입력"!B4+ROW()-2,"")</f>
        <v/>
      </c>
      <c r="B23" s="3">
        <f>IF(A23="","",TEXT(A23,"aaa"))</f>
        <v/>
      </c>
      <c r="C23" s="3">
        <f>IF(A23="","",IF(NETWORKDAYS.INTL(A23,A23,"입력"!B11,"공휴일"!A:A)=1,"평일","휴일"))</f>
        <v/>
      </c>
      <c r="D23" s="3" t="n">
        <v>0</v>
      </c>
      <c r="E23" s="3" t="n">
        <v>0</v>
      </c>
      <c r="F23" s="3">
        <f>IF("입력"!B7="Y",E23,0)</f>
        <v/>
      </c>
      <c r="G23" s="3">
        <f>D23+F23</f>
        <v/>
      </c>
      <c r="H23" s="3">
        <f>"입력"!B6</f>
        <v/>
      </c>
      <c r="I23" s="3">
        <f>G23*H23</f>
        <v/>
      </c>
      <c r="J23" s="7">
        <f>IF(A23="","",A23-WEEKDAY(A23,2)+1)</f>
        <v/>
      </c>
      <c r="K23" s="3">
        <f>IF(A23="","",SUMIFS($G:$G,$J:$J,J23))</f>
        <v/>
      </c>
      <c r="L23" s="3">
        <f>IF(A23="","",COUNTIFS($J:$J,J23,$G:$G,"&gt;0"))</f>
        <v/>
      </c>
      <c r="M23" s="3">
        <f>IF(A23="","",IF(K23&gt;=15,"Y","N"))</f>
        <v/>
      </c>
      <c r="N23" s="3">
        <f>IF(A23="","",IF(M23="Y",K23/"입력"!B9,0))</f>
        <v/>
      </c>
      <c r="O23" s="3">
        <f>IF(A23="","",IF(A23=J23,N23*H23,0))</f>
        <v/>
      </c>
      <c r="P23" s="3" t="inlineStr"/>
    </row>
    <row r="24">
      <c r="A24" s="7">
        <f>IF(ROW()-1&lt;=("입력"!B5-"입력"!B4+1),"입력"!B4+ROW()-2,"")</f>
        <v/>
      </c>
      <c r="B24" s="3">
        <f>IF(A24="","",TEXT(A24,"aaa"))</f>
        <v/>
      </c>
      <c r="C24" s="3">
        <f>IF(A24="","",IF(NETWORKDAYS.INTL(A24,A24,"입력"!B11,"공휴일"!A:A)=1,"평일","휴일"))</f>
        <v/>
      </c>
      <c r="D24" s="3" t="n">
        <v>0</v>
      </c>
      <c r="E24" s="3" t="n">
        <v>0</v>
      </c>
      <c r="F24" s="3">
        <f>IF("입력"!B7="Y",E24,0)</f>
        <v/>
      </c>
      <c r="G24" s="3">
        <f>D24+F24</f>
        <v/>
      </c>
      <c r="H24" s="3">
        <f>"입력"!B6</f>
        <v/>
      </c>
      <c r="I24" s="3">
        <f>G24*H24</f>
        <v/>
      </c>
      <c r="J24" s="7">
        <f>IF(A24="","",A24-WEEKDAY(A24,2)+1)</f>
        <v/>
      </c>
      <c r="K24" s="3">
        <f>IF(A24="","",SUMIFS($G:$G,$J:$J,J24))</f>
        <v/>
      </c>
      <c r="L24" s="3">
        <f>IF(A24="","",COUNTIFS($J:$J,J24,$G:$G,"&gt;0"))</f>
        <v/>
      </c>
      <c r="M24" s="3">
        <f>IF(A24="","",IF(K24&gt;=15,"Y","N"))</f>
        <v/>
      </c>
      <c r="N24" s="3">
        <f>IF(A24="","",IF(M24="Y",K24/"입력"!B9,0))</f>
        <v/>
      </c>
      <c r="O24" s="3">
        <f>IF(A24="","",IF(A24=J24,N24*H24,0))</f>
        <v/>
      </c>
      <c r="P24" s="3" t="inlineStr"/>
    </row>
    <row r="25">
      <c r="A25" s="7">
        <f>IF(ROW()-1&lt;=("입력"!B5-"입력"!B4+1),"입력"!B4+ROW()-2,"")</f>
        <v/>
      </c>
      <c r="B25" s="3">
        <f>IF(A25="","",TEXT(A25,"aaa"))</f>
        <v/>
      </c>
      <c r="C25" s="3">
        <f>IF(A25="","",IF(NETWORKDAYS.INTL(A25,A25,"입력"!B11,"공휴일"!A:A)=1,"평일","휴일"))</f>
        <v/>
      </c>
      <c r="D25" s="3" t="n">
        <v>0</v>
      </c>
      <c r="E25" s="3" t="n">
        <v>0</v>
      </c>
      <c r="F25" s="3">
        <f>IF("입력"!B7="Y",E25,0)</f>
        <v/>
      </c>
      <c r="G25" s="3">
        <f>D25+F25</f>
        <v/>
      </c>
      <c r="H25" s="3">
        <f>"입력"!B6</f>
        <v/>
      </c>
      <c r="I25" s="3">
        <f>G25*H25</f>
        <v/>
      </c>
      <c r="J25" s="7">
        <f>IF(A25="","",A25-WEEKDAY(A25,2)+1)</f>
        <v/>
      </c>
      <c r="K25" s="3">
        <f>IF(A25="","",SUMIFS($G:$G,$J:$J,J25))</f>
        <v/>
      </c>
      <c r="L25" s="3">
        <f>IF(A25="","",COUNTIFS($J:$J,J25,$G:$G,"&gt;0"))</f>
        <v/>
      </c>
      <c r="M25" s="3">
        <f>IF(A25="","",IF(K25&gt;=15,"Y","N"))</f>
        <v/>
      </c>
      <c r="N25" s="3">
        <f>IF(A25="","",IF(M25="Y",K25/"입력"!B9,0))</f>
        <v/>
      </c>
      <c r="O25" s="3">
        <f>IF(A25="","",IF(A25=J25,N25*H25,0))</f>
        <v/>
      </c>
      <c r="P25" s="3" t="inlineStr"/>
    </row>
    <row r="26">
      <c r="A26" s="7">
        <f>IF(ROW()-1&lt;=("입력"!B5-"입력"!B4+1),"입력"!B4+ROW()-2,"")</f>
        <v/>
      </c>
      <c r="B26" s="3">
        <f>IF(A26="","",TEXT(A26,"aaa"))</f>
        <v/>
      </c>
      <c r="C26" s="3">
        <f>IF(A26="","",IF(NETWORKDAYS.INTL(A26,A26,"입력"!B11,"공휴일"!A:A)=1,"평일","휴일"))</f>
        <v/>
      </c>
      <c r="D26" s="3" t="n">
        <v>0</v>
      </c>
      <c r="E26" s="3" t="n">
        <v>0</v>
      </c>
      <c r="F26" s="3">
        <f>IF("입력"!B7="Y",E26,0)</f>
        <v/>
      </c>
      <c r="G26" s="3">
        <f>D26+F26</f>
        <v/>
      </c>
      <c r="H26" s="3">
        <f>"입력"!B6</f>
        <v/>
      </c>
      <c r="I26" s="3">
        <f>G26*H26</f>
        <v/>
      </c>
      <c r="J26" s="7">
        <f>IF(A26="","",A26-WEEKDAY(A26,2)+1)</f>
        <v/>
      </c>
      <c r="K26" s="3">
        <f>IF(A26="","",SUMIFS($G:$G,$J:$J,J26))</f>
        <v/>
      </c>
      <c r="L26" s="3">
        <f>IF(A26="","",COUNTIFS($J:$J,J26,$G:$G,"&gt;0"))</f>
        <v/>
      </c>
      <c r="M26" s="3">
        <f>IF(A26="","",IF(K26&gt;=15,"Y","N"))</f>
        <v/>
      </c>
      <c r="N26" s="3">
        <f>IF(A26="","",IF(M26="Y",K26/"입력"!B9,0))</f>
        <v/>
      </c>
      <c r="O26" s="3">
        <f>IF(A26="","",IF(A26=J26,N26*H26,0))</f>
        <v/>
      </c>
      <c r="P26" s="3" t="inlineStr"/>
    </row>
    <row r="27">
      <c r="A27" s="7">
        <f>IF(ROW()-1&lt;=("입력"!B5-"입력"!B4+1),"입력"!B4+ROW()-2,"")</f>
        <v/>
      </c>
      <c r="B27" s="3">
        <f>IF(A27="","",TEXT(A27,"aaa"))</f>
        <v/>
      </c>
      <c r="C27" s="3">
        <f>IF(A27="","",IF(NETWORKDAYS.INTL(A27,A27,"입력"!B11,"공휴일"!A:A)=1,"평일","휴일"))</f>
        <v/>
      </c>
      <c r="D27" s="3" t="n">
        <v>0</v>
      </c>
      <c r="E27" s="3" t="n">
        <v>0</v>
      </c>
      <c r="F27" s="3">
        <f>IF("입력"!B7="Y",E27,0)</f>
        <v/>
      </c>
      <c r="G27" s="3">
        <f>D27+F27</f>
        <v/>
      </c>
      <c r="H27" s="3">
        <f>"입력"!B6</f>
        <v/>
      </c>
      <c r="I27" s="3">
        <f>G27*H27</f>
        <v/>
      </c>
      <c r="J27" s="7">
        <f>IF(A27="","",A27-WEEKDAY(A27,2)+1)</f>
        <v/>
      </c>
      <c r="K27" s="3">
        <f>IF(A27="","",SUMIFS($G:$G,$J:$J,J27))</f>
        <v/>
      </c>
      <c r="L27" s="3">
        <f>IF(A27="","",COUNTIFS($J:$J,J27,$G:$G,"&gt;0"))</f>
        <v/>
      </c>
      <c r="M27" s="3">
        <f>IF(A27="","",IF(K27&gt;=15,"Y","N"))</f>
        <v/>
      </c>
      <c r="N27" s="3">
        <f>IF(A27="","",IF(M27="Y",K27/"입력"!B9,0))</f>
        <v/>
      </c>
      <c r="O27" s="3">
        <f>IF(A27="","",IF(A27=J27,N27*H27,0))</f>
        <v/>
      </c>
      <c r="P27" s="3" t="inlineStr"/>
    </row>
    <row r="28">
      <c r="A28" s="7">
        <f>IF(ROW()-1&lt;=("입력"!B5-"입력"!B4+1),"입력"!B4+ROW()-2,"")</f>
        <v/>
      </c>
      <c r="B28" s="3">
        <f>IF(A28="","",TEXT(A28,"aaa"))</f>
        <v/>
      </c>
      <c r="C28" s="3">
        <f>IF(A28="","",IF(NETWORKDAYS.INTL(A28,A28,"입력"!B11,"공휴일"!A:A)=1,"평일","휴일"))</f>
        <v/>
      </c>
      <c r="D28" s="3" t="n">
        <v>0</v>
      </c>
      <c r="E28" s="3" t="n">
        <v>0</v>
      </c>
      <c r="F28" s="3">
        <f>IF("입력"!B7="Y",E28,0)</f>
        <v/>
      </c>
      <c r="G28" s="3">
        <f>D28+F28</f>
        <v/>
      </c>
      <c r="H28" s="3">
        <f>"입력"!B6</f>
        <v/>
      </c>
      <c r="I28" s="3">
        <f>G28*H28</f>
        <v/>
      </c>
      <c r="J28" s="7">
        <f>IF(A28="","",A28-WEEKDAY(A28,2)+1)</f>
        <v/>
      </c>
      <c r="K28" s="3">
        <f>IF(A28="","",SUMIFS($G:$G,$J:$J,J28))</f>
        <v/>
      </c>
      <c r="L28" s="3">
        <f>IF(A28="","",COUNTIFS($J:$J,J28,$G:$G,"&gt;0"))</f>
        <v/>
      </c>
      <c r="M28" s="3">
        <f>IF(A28="","",IF(K28&gt;=15,"Y","N"))</f>
        <v/>
      </c>
      <c r="N28" s="3">
        <f>IF(A28="","",IF(M28="Y",K28/"입력"!B9,0))</f>
        <v/>
      </c>
      <c r="O28" s="3">
        <f>IF(A28="","",IF(A28=J28,N28*H28,0))</f>
        <v/>
      </c>
      <c r="P28" s="3" t="inlineStr"/>
    </row>
    <row r="29">
      <c r="A29" s="7">
        <f>IF(ROW()-1&lt;=("입력"!B5-"입력"!B4+1),"입력"!B4+ROW()-2,"")</f>
        <v/>
      </c>
      <c r="B29" s="3">
        <f>IF(A29="","",TEXT(A29,"aaa"))</f>
        <v/>
      </c>
      <c r="C29" s="3">
        <f>IF(A29="","",IF(NETWORKDAYS.INTL(A29,A29,"입력"!B11,"공휴일"!A:A)=1,"평일","휴일"))</f>
        <v/>
      </c>
      <c r="D29" s="3" t="n">
        <v>0</v>
      </c>
      <c r="E29" s="3" t="n">
        <v>0</v>
      </c>
      <c r="F29" s="3">
        <f>IF("입력"!B7="Y",E29,0)</f>
        <v/>
      </c>
      <c r="G29" s="3">
        <f>D29+F29</f>
        <v/>
      </c>
      <c r="H29" s="3">
        <f>"입력"!B6</f>
        <v/>
      </c>
      <c r="I29" s="3">
        <f>G29*H29</f>
        <v/>
      </c>
      <c r="J29" s="7">
        <f>IF(A29="","",A29-WEEKDAY(A29,2)+1)</f>
        <v/>
      </c>
      <c r="K29" s="3">
        <f>IF(A29="","",SUMIFS($G:$G,$J:$J,J29))</f>
        <v/>
      </c>
      <c r="L29" s="3">
        <f>IF(A29="","",COUNTIFS($J:$J,J29,$G:$G,"&gt;0"))</f>
        <v/>
      </c>
      <c r="M29" s="3">
        <f>IF(A29="","",IF(K29&gt;=15,"Y","N"))</f>
        <v/>
      </c>
      <c r="N29" s="3">
        <f>IF(A29="","",IF(M29="Y",K29/"입력"!B9,0))</f>
        <v/>
      </c>
      <c r="O29" s="3">
        <f>IF(A29="","",IF(A29=J29,N29*H29,0))</f>
        <v/>
      </c>
      <c r="P29" s="3" t="inlineStr"/>
    </row>
    <row r="30">
      <c r="A30" s="7">
        <f>IF(ROW()-1&lt;=("입력"!B5-"입력"!B4+1),"입력"!B4+ROW()-2,"")</f>
        <v/>
      </c>
      <c r="B30" s="3">
        <f>IF(A30="","",TEXT(A30,"aaa"))</f>
        <v/>
      </c>
      <c r="C30" s="3">
        <f>IF(A30="","",IF(NETWORKDAYS.INTL(A30,A30,"입력"!B11,"공휴일"!A:A)=1,"평일","휴일"))</f>
        <v/>
      </c>
      <c r="D30" s="3" t="n">
        <v>0</v>
      </c>
      <c r="E30" s="3" t="n">
        <v>0</v>
      </c>
      <c r="F30" s="3">
        <f>IF("입력"!B7="Y",E30,0)</f>
        <v/>
      </c>
      <c r="G30" s="3">
        <f>D30+F30</f>
        <v/>
      </c>
      <c r="H30" s="3">
        <f>"입력"!B6</f>
        <v/>
      </c>
      <c r="I30" s="3">
        <f>G30*H30</f>
        <v/>
      </c>
      <c r="J30" s="7">
        <f>IF(A30="","",A30-WEEKDAY(A30,2)+1)</f>
        <v/>
      </c>
      <c r="K30" s="3">
        <f>IF(A30="","",SUMIFS($G:$G,$J:$J,J30))</f>
        <v/>
      </c>
      <c r="L30" s="3">
        <f>IF(A30="","",COUNTIFS($J:$J,J30,$G:$G,"&gt;0"))</f>
        <v/>
      </c>
      <c r="M30" s="3">
        <f>IF(A30="","",IF(K30&gt;=15,"Y","N"))</f>
        <v/>
      </c>
      <c r="N30" s="3">
        <f>IF(A30="","",IF(M30="Y",K30/"입력"!B9,0))</f>
        <v/>
      </c>
      <c r="O30" s="3">
        <f>IF(A30="","",IF(A30=J30,N30*H30,0))</f>
        <v/>
      </c>
      <c r="P30" s="3" t="inlineStr"/>
    </row>
    <row r="31">
      <c r="A31" s="7">
        <f>IF(ROW()-1&lt;=("입력"!B5-"입력"!B4+1),"입력"!B4+ROW()-2,"")</f>
        <v/>
      </c>
      <c r="B31" s="3">
        <f>IF(A31="","",TEXT(A31,"aaa"))</f>
        <v/>
      </c>
      <c r="C31" s="3">
        <f>IF(A31="","",IF(NETWORKDAYS.INTL(A31,A31,"입력"!B11,"공휴일"!A:A)=1,"평일","휴일"))</f>
        <v/>
      </c>
      <c r="D31" s="3" t="n">
        <v>0</v>
      </c>
      <c r="E31" s="3" t="n">
        <v>0</v>
      </c>
      <c r="F31" s="3">
        <f>IF("입력"!B7="Y",E31,0)</f>
        <v/>
      </c>
      <c r="G31" s="3">
        <f>D31+F31</f>
        <v/>
      </c>
      <c r="H31" s="3">
        <f>"입력"!B6</f>
        <v/>
      </c>
      <c r="I31" s="3">
        <f>G31*H31</f>
        <v/>
      </c>
      <c r="J31" s="7">
        <f>IF(A31="","",A31-WEEKDAY(A31,2)+1)</f>
        <v/>
      </c>
      <c r="K31" s="3">
        <f>IF(A31="","",SUMIFS($G:$G,$J:$J,J31))</f>
        <v/>
      </c>
      <c r="L31" s="3">
        <f>IF(A31="","",COUNTIFS($J:$J,J31,$G:$G,"&gt;0"))</f>
        <v/>
      </c>
      <c r="M31" s="3">
        <f>IF(A31="","",IF(K31&gt;=15,"Y","N"))</f>
        <v/>
      </c>
      <c r="N31" s="3">
        <f>IF(A31="","",IF(M31="Y",K31/"입력"!B9,0))</f>
        <v/>
      </c>
      <c r="O31" s="3">
        <f>IF(A31="","",IF(A31=J31,N31*H31,0))</f>
        <v/>
      </c>
      <c r="P31" s="3" t="inlineStr"/>
    </row>
    <row r="32">
      <c r="A32" s="7">
        <f>IF(ROW()-1&lt;=("입력"!B5-"입력"!B4+1),"입력"!B4+ROW()-2,"")</f>
        <v/>
      </c>
      <c r="B32" s="3">
        <f>IF(A32="","",TEXT(A32,"aaa"))</f>
        <v/>
      </c>
      <c r="C32" s="3">
        <f>IF(A32="","",IF(NETWORKDAYS.INTL(A32,A32,"입력"!B11,"공휴일"!A:A)=1,"평일","휴일"))</f>
        <v/>
      </c>
      <c r="D32" s="3" t="n">
        <v>0</v>
      </c>
      <c r="E32" s="3" t="n">
        <v>0</v>
      </c>
      <c r="F32" s="3">
        <f>IF("입력"!B7="Y",E32,0)</f>
        <v/>
      </c>
      <c r="G32" s="3">
        <f>D32+F32</f>
        <v/>
      </c>
      <c r="H32" s="3">
        <f>"입력"!B6</f>
        <v/>
      </c>
      <c r="I32" s="3">
        <f>G32*H32</f>
        <v/>
      </c>
      <c r="J32" s="7">
        <f>IF(A32="","",A32-WEEKDAY(A32,2)+1)</f>
        <v/>
      </c>
      <c r="K32" s="3">
        <f>IF(A32="","",SUMIFS($G:$G,$J:$J,J32))</f>
        <v/>
      </c>
      <c r="L32" s="3">
        <f>IF(A32="","",COUNTIFS($J:$J,J32,$G:$G,"&gt;0"))</f>
        <v/>
      </c>
      <c r="M32" s="3">
        <f>IF(A32="","",IF(K32&gt;=15,"Y","N"))</f>
        <v/>
      </c>
      <c r="N32" s="3">
        <f>IF(A32="","",IF(M32="Y",K32/"입력"!B9,0))</f>
        <v/>
      </c>
      <c r="O32" s="3">
        <f>IF(A32="","",IF(A32=J32,N32*H32,0))</f>
        <v/>
      </c>
      <c r="P32" s="3" t="inlineStr"/>
    </row>
    <row r="33">
      <c r="A33" s="7">
        <f>IF(ROW()-1&lt;=("입력"!B5-"입력"!B4+1),"입력"!B4+ROW()-2,"")</f>
        <v/>
      </c>
      <c r="B33" s="3">
        <f>IF(A33="","",TEXT(A33,"aaa"))</f>
        <v/>
      </c>
      <c r="C33" s="3">
        <f>IF(A33="","",IF(NETWORKDAYS.INTL(A33,A33,"입력"!B11,"공휴일"!A:A)=1,"평일","휴일"))</f>
        <v/>
      </c>
      <c r="D33" s="3" t="n">
        <v>0</v>
      </c>
      <c r="E33" s="3" t="n">
        <v>0</v>
      </c>
      <c r="F33" s="3">
        <f>IF("입력"!B7="Y",E33,0)</f>
        <v/>
      </c>
      <c r="G33" s="3">
        <f>D33+F33</f>
        <v/>
      </c>
      <c r="H33" s="3">
        <f>"입력"!B6</f>
        <v/>
      </c>
      <c r="I33" s="3">
        <f>G33*H33</f>
        <v/>
      </c>
      <c r="J33" s="7">
        <f>IF(A33="","",A33-WEEKDAY(A33,2)+1)</f>
        <v/>
      </c>
      <c r="K33" s="3">
        <f>IF(A33="","",SUMIFS($G:$G,$J:$J,J33))</f>
        <v/>
      </c>
      <c r="L33" s="3">
        <f>IF(A33="","",COUNTIFS($J:$J,J33,$G:$G,"&gt;0"))</f>
        <v/>
      </c>
      <c r="M33" s="3">
        <f>IF(A33="","",IF(K33&gt;=15,"Y","N"))</f>
        <v/>
      </c>
      <c r="N33" s="3">
        <f>IF(A33="","",IF(M33="Y",K33/"입력"!B9,0))</f>
        <v/>
      </c>
      <c r="O33" s="3">
        <f>IF(A33="","",IF(A33=J33,N33*H33,0))</f>
        <v/>
      </c>
      <c r="P33" s="3" t="inlineStr"/>
    </row>
    <row r="34">
      <c r="A34" s="7">
        <f>IF(ROW()-1&lt;=("입력"!B5-"입력"!B4+1),"입력"!B4+ROW()-2,"")</f>
        <v/>
      </c>
      <c r="B34" s="3">
        <f>IF(A34="","",TEXT(A34,"aaa"))</f>
        <v/>
      </c>
      <c r="C34" s="3">
        <f>IF(A34="","",IF(NETWORKDAYS.INTL(A34,A34,"입력"!B11,"공휴일"!A:A)=1,"평일","휴일"))</f>
        <v/>
      </c>
      <c r="D34" s="3" t="n">
        <v>0</v>
      </c>
      <c r="E34" s="3" t="n">
        <v>0</v>
      </c>
      <c r="F34" s="3">
        <f>IF("입력"!B7="Y",E34,0)</f>
        <v/>
      </c>
      <c r="G34" s="3">
        <f>D34+F34</f>
        <v/>
      </c>
      <c r="H34" s="3">
        <f>"입력"!B6</f>
        <v/>
      </c>
      <c r="I34" s="3">
        <f>G34*H34</f>
        <v/>
      </c>
      <c r="J34" s="7">
        <f>IF(A34="","",A34-WEEKDAY(A34,2)+1)</f>
        <v/>
      </c>
      <c r="K34" s="3">
        <f>IF(A34="","",SUMIFS($G:$G,$J:$J,J34))</f>
        <v/>
      </c>
      <c r="L34" s="3">
        <f>IF(A34="","",COUNTIFS($J:$J,J34,$G:$G,"&gt;0"))</f>
        <v/>
      </c>
      <c r="M34" s="3">
        <f>IF(A34="","",IF(K34&gt;=15,"Y","N"))</f>
        <v/>
      </c>
      <c r="N34" s="3">
        <f>IF(A34="","",IF(M34="Y",K34/"입력"!B9,0))</f>
        <v/>
      </c>
      <c r="O34" s="3">
        <f>IF(A34="","",IF(A34=J34,N34*H34,0))</f>
        <v/>
      </c>
      <c r="P34" s="3" t="inlineStr"/>
    </row>
    <row r="35">
      <c r="A35" s="7">
        <f>IF(ROW()-1&lt;=("입력"!B5-"입력"!B4+1),"입력"!B4+ROW()-2,"")</f>
        <v/>
      </c>
      <c r="B35" s="3">
        <f>IF(A35="","",TEXT(A35,"aaa"))</f>
        <v/>
      </c>
      <c r="C35" s="3">
        <f>IF(A35="","",IF(NETWORKDAYS.INTL(A35,A35,"입력"!B11,"공휴일"!A:A)=1,"평일","휴일"))</f>
        <v/>
      </c>
      <c r="D35" s="3" t="n">
        <v>0</v>
      </c>
      <c r="E35" s="3" t="n">
        <v>0</v>
      </c>
      <c r="F35" s="3">
        <f>IF("입력"!B7="Y",E35,0)</f>
        <v/>
      </c>
      <c r="G35" s="3">
        <f>D35+F35</f>
        <v/>
      </c>
      <c r="H35" s="3">
        <f>"입력"!B6</f>
        <v/>
      </c>
      <c r="I35" s="3">
        <f>G35*H35</f>
        <v/>
      </c>
      <c r="J35" s="7">
        <f>IF(A35="","",A35-WEEKDAY(A35,2)+1)</f>
        <v/>
      </c>
      <c r="K35" s="3">
        <f>IF(A35="","",SUMIFS($G:$G,$J:$J,J35))</f>
        <v/>
      </c>
      <c r="L35" s="3">
        <f>IF(A35="","",COUNTIFS($J:$J,J35,$G:$G,"&gt;0"))</f>
        <v/>
      </c>
      <c r="M35" s="3">
        <f>IF(A35="","",IF(K35&gt;=15,"Y","N"))</f>
        <v/>
      </c>
      <c r="N35" s="3">
        <f>IF(A35="","",IF(M35="Y",K35/"입력"!B9,0))</f>
        <v/>
      </c>
      <c r="O35" s="3">
        <f>IF(A35="","",IF(A35=J35,N35*H35,0))</f>
        <v/>
      </c>
      <c r="P35" s="3" t="inlineStr"/>
    </row>
    <row r="36">
      <c r="A36" s="7">
        <f>IF(ROW()-1&lt;=("입력"!B5-"입력"!B4+1),"입력"!B4+ROW()-2,"")</f>
        <v/>
      </c>
      <c r="B36" s="3">
        <f>IF(A36="","",TEXT(A36,"aaa"))</f>
        <v/>
      </c>
      <c r="C36" s="3">
        <f>IF(A36="","",IF(NETWORKDAYS.INTL(A36,A36,"입력"!B11,"공휴일"!A:A)=1,"평일","휴일"))</f>
        <v/>
      </c>
      <c r="D36" s="3" t="n">
        <v>0</v>
      </c>
      <c r="E36" s="3" t="n">
        <v>0</v>
      </c>
      <c r="F36" s="3">
        <f>IF("입력"!B7="Y",E36,0)</f>
        <v/>
      </c>
      <c r="G36" s="3">
        <f>D36+F36</f>
        <v/>
      </c>
      <c r="H36" s="3">
        <f>"입력"!B6</f>
        <v/>
      </c>
      <c r="I36" s="3">
        <f>G36*H36</f>
        <v/>
      </c>
      <c r="J36" s="7">
        <f>IF(A36="","",A36-WEEKDAY(A36,2)+1)</f>
        <v/>
      </c>
      <c r="K36" s="3">
        <f>IF(A36="","",SUMIFS($G:$G,$J:$J,J36))</f>
        <v/>
      </c>
      <c r="L36" s="3">
        <f>IF(A36="","",COUNTIFS($J:$J,J36,$G:$G,"&gt;0"))</f>
        <v/>
      </c>
      <c r="M36" s="3">
        <f>IF(A36="","",IF(K36&gt;=15,"Y","N"))</f>
        <v/>
      </c>
      <c r="N36" s="3">
        <f>IF(A36="","",IF(M36="Y",K36/"입력"!B9,0))</f>
        <v/>
      </c>
      <c r="O36" s="3">
        <f>IF(A36="","",IF(A36=J36,N36*H36,0))</f>
        <v/>
      </c>
      <c r="P36" s="3" t="inlineStr"/>
    </row>
    <row r="37">
      <c r="A37" s="7">
        <f>IF(ROW()-1&lt;=("입력"!B5-"입력"!B4+1),"입력"!B4+ROW()-2,"")</f>
        <v/>
      </c>
      <c r="B37" s="3">
        <f>IF(A37="","",TEXT(A37,"aaa"))</f>
        <v/>
      </c>
      <c r="C37" s="3">
        <f>IF(A37="","",IF(NETWORKDAYS.INTL(A37,A37,"입력"!B11,"공휴일"!A:A)=1,"평일","휴일"))</f>
        <v/>
      </c>
      <c r="D37" s="3" t="n">
        <v>0</v>
      </c>
      <c r="E37" s="3" t="n">
        <v>0</v>
      </c>
      <c r="F37" s="3">
        <f>IF("입력"!B7="Y",E37,0)</f>
        <v/>
      </c>
      <c r="G37" s="3">
        <f>D37+F37</f>
        <v/>
      </c>
      <c r="H37" s="3">
        <f>"입력"!B6</f>
        <v/>
      </c>
      <c r="I37" s="3">
        <f>G37*H37</f>
        <v/>
      </c>
      <c r="J37" s="7">
        <f>IF(A37="","",A37-WEEKDAY(A37,2)+1)</f>
        <v/>
      </c>
      <c r="K37" s="3">
        <f>IF(A37="","",SUMIFS($G:$G,$J:$J,J37))</f>
        <v/>
      </c>
      <c r="L37" s="3">
        <f>IF(A37="","",COUNTIFS($J:$J,J37,$G:$G,"&gt;0"))</f>
        <v/>
      </c>
      <c r="M37" s="3">
        <f>IF(A37="","",IF(K37&gt;=15,"Y","N"))</f>
        <v/>
      </c>
      <c r="N37" s="3">
        <f>IF(A37="","",IF(M37="Y",K37/"입력"!B9,0))</f>
        <v/>
      </c>
      <c r="O37" s="3">
        <f>IF(A37="","",IF(A37=J37,N37*H37,0))</f>
        <v/>
      </c>
      <c r="P37" s="3" t="inlineStr"/>
    </row>
    <row r="38">
      <c r="A38" s="7">
        <f>IF(ROW()-1&lt;=("입력"!B5-"입력"!B4+1),"입력"!B4+ROW()-2,"")</f>
        <v/>
      </c>
      <c r="B38" s="3">
        <f>IF(A38="","",TEXT(A38,"aaa"))</f>
        <v/>
      </c>
      <c r="C38" s="3">
        <f>IF(A38="","",IF(NETWORKDAYS.INTL(A38,A38,"입력"!B11,"공휴일"!A:A)=1,"평일","휴일"))</f>
        <v/>
      </c>
      <c r="D38" s="3" t="n">
        <v>0</v>
      </c>
      <c r="E38" s="3" t="n">
        <v>0</v>
      </c>
      <c r="F38" s="3">
        <f>IF("입력"!B7="Y",E38,0)</f>
        <v/>
      </c>
      <c r="G38" s="3">
        <f>D38+F38</f>
        <v/>
      </c>
      <c r="H38" s="3">
        <f>"입력"!B6</f>
        <v/>
      </c>
      <c r="I38" s="3">
        <f>G38*H38</f>
        <v/>
      </c>
      <c r="J38" s="7">
        <f>IF(A38="","",A38-WEEKDAY(A38,2)+1)</f>
        <v/>
      </c>
      <c r="K38" s="3">
        <f>IF(A38="","",SUMIFS($G:$G,$J:$J,J38))</f>
        <v/>
      </c>
      <c r="L38" s="3">
        <f>IF(A38="","",COUNTIFS($J:$J,J38,$G:$G,"&gt;0"))</f>
        <v/>
      </c>
      <c r="M38" s="3">
        <f>IF(A38="","",IF(K38&gt;=15,"Y","N"))</f>
        <v/>
      </c>
      <c r="N38" s="3">
        <f>IF(A38="","",IF(M38="Y",K38/"입력"!B9,0))</f>
        <v/>
      </c>
      <c r="O38" s="3">
        <f>IF(A38="","",IF(A38=J38,N38*H38,0))</f>
        <v/>
      </c>
      <c r="P38" s="3" t="inlineStr"/>
    </row>
    <row r="39">
      <c r="A39" s="7">
        <f>IF(ROW()-1&lt;=("입력"!B5-"입력"!B4+1),"입력"!B4+ROW()-2,"")</f>
        <v/>
      </c>
      <c r="B39" s="3">
        <f>IF(A39="","",TEXT(A39,"aaa"))</f>
        <v/>
      </c>
      <c r="C39" s="3">
        <f>IF(A39="","",IF(NETWORKDAYS.INTL(A39,A39,"입력"!B11,"공휴일"!A:A)=1,"평일","휴일"))</f>
        <v/>
      </c>
      <c r="D39" s="3" t="n">
        <v>0</v>
      </c>
      <c r="E39" s="3" t="n">
        <v>0</v>
      </c>
      <c r="F39" s="3">
        <f>IF("입력"!B7="Y",E39,0)</f>
        <v/>
      </c>
      <c r="G39" s="3">
        <f>D39+F39</f>
        <v/>
      </c>
      <c r="H39" s="3">
        <f>"입력"!B6</f>
        <v/>
      </c>
      <c r="I39" s="3">
        <f>G39*H39</f>
        <v/>
      </c>
      <c r="J39" s="7">
        <f>IF(A39="","",A39-WEEKDAY(A39,2)+1)</f>
        <v/>
      </c>
      <c r="K39" s="3">
        <f>IF(A39="","",SUMIFS($G:$G,$J:$J,J39))</f>
        <v/>
      </c>
      <c r="L39" s="3">
        <f>IF(A39="","",COUNTIFS($J:$J,J39,$G:$G,"&gt;0"))</f>
        <v/>
      </c>
      <c r="M39" s="3">
        <f>IF(A39="","",IF(K39&gt;=15,"Y","N"))</f>
        <v/>
      </c>
      <c r="N39" s="3">
        <f>IF(A39="","",IF(M39="Y",K39/"입력"!B9,0))</f>
        <v/>
      </c>
      <c r="O39" s="3">
        <f>IF(A39="","",IF(A39=J39,N39*H39,0))</f>
        <v/>
      </c>
      <c r="P39" s="3" t="inlineStr"/>
    </row>
    <row r="40">
      <c r="A40" s="7">
        <f>IF(ROW()-1&lt;=("입력"!B5-"입력"!B4+1),"입력"!B4+ROW()-2,"")</f>
        <v/>
      </c>
      <c r="B40" s="3">
        <f>IF(A40="","",TEXT(A40,"aaa"))</f>
        <v/>
      </c>
      <c r="C40" s="3">
        <f>IF(A40="","",IF(NETWORKDAYS.INTL(A40,A40,"입력"!B11,"공휴일"!A:A)=1,"평일","휴일"))</f>
        <v/>
      </c>
      <c r="D40" s="3" t="n">
        <v>0</v>
      </c>
      <c r="E40" s="3" t="n">
        <v>0</v>
      </c>
      <c r="F40" s="3">
        <f>IF("입력"!B7="Y",E40,0)</f>
        <v/>
      </c>
      <c r="G40" s="3">
        <f>D40+F40</f>
        <v/>
      </c>
      <c r="H40" s="3">
        <f>"입력"!B6</f>
        <v/>
      </c>
      <c r="I40" s="3">
        <f>G40*H40</f>
        <v/>
      </c>
      <c r="J40" s="7">
        <f>IF(A40="","",A40-WEEKDAY(A40,2)+1)</f>
        <v/>
      </c>
      <c r="K40" s="3">
        <f>IF(A40="","",SUMIFS($G:$G,$J:$J,J40))</f>
        <v/>
      </c>
      <c r="L40" s="3">
        <f>IF(A40="","",COUNTIFS($J:$J,J40,$G:$G,"&gt;0"))</f>
        <v/>
      </c>
      <c r="M40" s="3">
        <f>IF(A40="","",IF(K40&gt;=15,"Y","N"))</f>
        <v/>
      </c>
      <c r="N40" s="3">
        <f>IF(A40="","",IF(M40="Y",K40/"입력"!B9,0))</f>
        <v/>
      </c>
      <c r="O40" s="3">
        <f>IF(A40="","",IF(A40=J40,N40*H40,0))</f>
        <v/>
      </c>
      <c r="P40" s="3" t="inlineStr"/>
    </row>
    <row r="41">
      <c r="A41" s="7">
        <f>IF(ROW()-1&lt;=("입력"!B5-"입력"!B4+1),"입력"!B4+ROW()-2,"")</f>
        <v/>
      </c>
      <c r="B41" s="3">
        <f>IF(A41="","",TEXT(A41,"aaa"))</f>
        <v/>
      </c>
      <c r="C41" s="3">
        <f>IF(A41="","",IF(NETWORKDAYS.INTL(A41,A41,"입력"!B11,"공휴일"!A:A)=1,"평일","휴일"))</f>
        <v/>
      </c>
      <c r="D41" s="3" t="n">
        <v>0</v>
      </c>
      <c r="E41" s="3" t="n">
        <v>0</v>
      </c>
      <c r="F41" s="3">
        <f>IF("입력"!B7="Y",E41,0)</f>
        <v/>
      </c>
      <c r="G41" s="3">
        <f>D41+F41</f>
        <v/>
      </c>
      <c r="H41" s="3">
        <f>"입력"!B6</f>
        <v/>
      </c>
      <c r="I41" s="3">
        <f>G41*H41</f>
        <v/>
      </c>
      <c r="J41" s="7">
        <f>IF(A41="","",A41-WEEKDAY(A41,2)+1)</f>
        <v/>
      </c>
      <c r="K41" s="3">
        <f>IF(A41="","",SUMIFS($G:$G,$J:$J,J41))</f>
        <v/>
      </c>
      <c r="L41" s="3">
        <f>IF(A41="","",COUNTIFS($J:$J,J41,$G:$G,"&gt;0"))</f>
        <v/>
      </c>
      <c r="M41" s="3">
        <f>IF(A41="","",IF(K41&gt;=15,"Y","N"))</f>
        <v/>
      </c>
      <c r="N41" s="3">
        <f>IF(A41="","",IF(M41="Y",K41/"입력"!B9,0))</f>
        <v/>
      </c>
      <c r="O41" s="3">
        <f>IF(A41="","",IF(A41=J41,N41*H41,0))</f>
        <v/>
      </c>
      <c r="P41" s="3" t="inlineStr"/>
    </row>
    <row r="42">
      <c r="A42" s="7">
        <f>IF(ROW()-1&lt;=("입력"!B5-"입력"!B4+1),"입력"!B4+ROW()-2,"")</f>
        <v/>
      </c>
      <c r="B42" s="3">
        <f>IF(A42="","",TEXT(A42,"aaa"))</f>
        <v/>
      </c>
      <c r="C42" s="3">
        <f>IF(A42="","",IF(NETWORKDAYS.INTL(A42,A42,"입력"!B11,"공휴일"!A:A)=1,"평일","휴일"))</f>
        <v/>
      </c>
      <c r="D42" s="3" t="n">
        <v>0</v>
      </c>
      <c r="E42" s="3" t="n">
        <v>0</v>
      </c>
      <c r="F42" s="3">
        <f>IF("입력"!B7="Y",E42,0)</f>
        <v/>
      </c>
      <c r="G42" s="3">
        <f>D42+F42</f>
        <v/>
      </c>
      <c r="H42" s="3">
        <f>"입력"!B6</f>
        <v/>
      </c>
      <c r="I42" s="3">
        <f>G42*H42</f>
        <v/>
      </c>
      <c r="J42" s="7">
        <f>IF(A42="","",A42-WEEKDAY(A42,2)+1)</f>
        <v/>
      </c>
      <c r="K42" s="3">
        <f>IF(A42="","",SUMIFS($G:$G,$J:$J,J42))</f>
        <v/>
      </c>
      <c r="L42" s="3">
        <f>IF(A42="","",COUNTIFS($J:$J,J42,$G:$G,"&gt;0"))</f>
        <v/>
      </c>
      <c r="M42" s="3">
        <f>IF(A42="","",IF(K42&gt;=15,"Y","N"))</f>
        <v/>
      </c>
      <c r="N42" s="3">
        <f>IF(A42="","",IF(M42="Y",K42/"입력"!B9,0))</f>
        <v/>
      </c>
      <c r="O42" s="3">
        <f>IF(A42="","",IF(A42=J42,N42*H42,0))</f>
        <v/>
      </c>
      <c r="P42" s="3" t="inlineStr"/>
    </row>
    <row r="43">
      <c r="A43" s="7">
        <f>IF(ROW()-1&lt;=("입력"!B5-"입력"!B4+1),"입력"!B4+ROW()-2,"")</f>
        <v/>
      </c>
      <c r="B43" s="3">
        <f>IF(A43="","",TEXT(A43,"aaa"))</f>
        <v/>
      </c>
      <c r="C43" s="3">
        <f>IF(A43="","",IF(NETWORKDAYS.INTL(A43,A43,"입력"!B11,"공휴일"!A:A)=1,"평일","휴일"))</f>
        <v/>
      </c>
      <c r="D43" s="3" t="n">
        <v>0</v>
      </c>
      <c r="E43" s="3" t="n">
        <v>0</v>
      </c>
      <c r="F43" s="3">
        <f>IF("입력"!B7="Y",E43,0)</f>
        <v/>
      </c>
      <c r="G43" s="3">
        <f>D43+F43</f>
        <v/>
      </c>
      <c r="H43" s="3">
        <f>"입력"!B6</f>
        <v/>
      </c>
      <c r="I43" s="3">
        <f>G43*H43</f>
        <v/>
      </c>
      <c r="J43" s="7">
        <f>IF(A43="","",A43-WEEKDAY(A43,2)+1)</f>
        <v/>
      </c>
      <c r="K43" s="3">
        <f>IF(A43="","",SUMIFS($G:$G,$J:$J,J43))</f>
        <v/>
      </c>
      <c r="L43" s="3">
        <f>IF(A43="","",COUNTIFS($J:$J,J43,$G:$G,"&gt;0"))</f>
        <v/>
      </c>
      <c r="M43" s="3">
        <f>IF(A43="","",IF(K43&gt;=15,"Y","N"))</f>
        <v/>
      </c>
      <c r="N43" s="3">
        <f>IF(A43="","",IF(M43="Y",K43/"입력"!B9,0))</f>
        <v/>
      </c>
      <c r="O43" s="3">
        <f>IF(A43="","",IF(A43=J43,N43*H43,0))</f>
        <v/>
      </c>
      <c r="P43" s="3" t="inlineStr"/>
    </row>
    <row r="44">
      <c r="A44" s="7">
        <f>IF(ROW()-1&lt;=("입력"!B5-"입력"!B4+1),"입력"!B4+ROW()-2,"")</f>
        <v/>
      </c>
      <c r="B44" s="3">
        <f>IF(A44="","",TEXT(A44,"aaa"))</f>
        <v/>
      </c>
      <c r="C44" s="3">
        <f>IF(A44="","",IF(NETWORKDAYS.INTL(A44,A44,"입력"!B11,"공휴일"!A:A)=1,"평일","휴일"))</f>
        <v/>
      </c>
      <c r="D44" s="3" t="n">
        <v>0</v>
      </c>
      <c r="E44" s="3" t="n">
        <v>0</v>
      </c>
      <c r="F44" s="3">
        <f>IF("입력"!B7="Y",E44,0)</f>
        <v/>
      </c>
      <c r="G44" s="3">
        <f>D44+F44</f>
        <v/>
      </c>
      <c r="H44" s="3">
        <f>"입력"!B6</f>
        <v/>
      </c>
      <c r="I44" s="3">
        <f>G44*H44</f>
        <v/>
      </c>
      <c r="J44" s="7">
        <f>IF(A44="","",A44-WEEKDAY(A44,2)+1)</f>
        <v/>
      </c>
      <c r="K44" s="3">
        <f>IF(A44="","",SUMIFS($G:$G,$J:$J,J44))</f>
        <v/>
      </c>
      <c r="L44" s="3">
        <f>IF(A44="","",COUNTIFS($J:$J,J44,$G:$G,"&gt;0"))</f>
        <v/>
      </c>
      <c r="M44" s="3">
        <f>IF(A44="","",IF(K44&gt;=15,"Y","N"))</f>
        <v/>
      </c>
      <c r="N44" s="3">
        <f>IF(A44="","",IF(M44="Y",K44/"입력"!B9,0))</f>
        <v/>
      </c>
      <c r="O44" s="3">
        <f>IF(A44="","",IF(A44=J44,N44*H44,0))</f>
        <v/>
      </c>
      <c r="P44" s="3" t="inlineStr"/>
    </row>
    <row r="45">
      <c r="A45" s="7">
        <f>IF(ROW()-1&lt;=("입력"!B5-"입력"!B4+1),"입력"!B4+ROW()-2,"")</f>
        <v/>
      </c>
      <c r="B45" s="3">
        <f>IF(A45="","",TEXT(A45,"aaa"))</f>
        <v/>
      </c>
      <c r="C45" s="3">
        <f>IF(A45="","",IF(NETWORKDAYS.INTL(A45,A45,"입력"!B11,"공휴일"!A:A)=1,"평일","휴일"))</f>
        <v/>
      </c>
      <c r="D45" s="3" t="n">
        <v>0</v>
      </c>
      <c r="E45" s="3" t="n">
        <v>0</v>
      </c>
      <c r="F45" s="3">
        <f>IF("입력"!B7="Y",E45,0)</f>
        <v/>
      </c>
      <c r="G45" s="3">
        <f>D45+F45</f>
        <v/>
      </c>
      <c r="H45" s="3">
        <f>"입력"!B6</f>
        <v/>
      </c>
      <c r="I45" s="3">
        <f>G45*H45</f>
        <v/>
      </c>
      <c r="J45" s="7">
        <f>IF(A45="","",A45-WEEKDAY(A45,2)+1)</f>
        <v/>
      </c>
      <c r="K45" s="3">
        <f>IF(A45="","",SUMIFS($G:$G,$J:$J,J45))</f>
        <v/>
      </c>
      <c r="L45" s="3">
        <f>IF(A45="","",COUNTIFS($J:$J,J45,$G:$G,"&gt;0"))</f>
        <v/>
      </c>
      <c r="M45" s="3">
        <f>IF(A45="","",IF(K45&gt;=15,"Y","N"))</f>
        <v/>
      </c>
      <c r="N45" s="3">
        <f>IF(A45="","",IF(M45="Y",K45/"입력"!B9,0))</f>
        <v/>
      </c>
      <c r="O45" s="3">
        <f>IF(A45="","",IF(A45=J45,N45*H45,0))</f>
        <v/>
      </c>
      <c r="P45" s="3" t="inlineStr"/>
    </row>
    <row r="46">
      <c r="A46" s="7">
        <f>IF(ROW()-1&lt;=("입력"!B5-"입력"!B4+1),"입력"!B4+ROW()-2,"")</f>
        <v/>
      </c>
      <c r="B46" s="3">
        <f>IF(A46="","",TEXT(A46,"aaa"))</f>
        <v/>
      </c>
      <c r="C46" s="3">
        <f>IF(A46="","",IF(NETWORKDAYS.INTL(A46,A46,"입력"!B11,"공휴일"!A:A)=1,"평일","휴일"))</f>
        <v/>
      </c>
      <c r="D46" s="3" t="n">
        <v>0</v>
      </c>
      <c r="E46" s="3" t="n">
        <v>0</v>
      </c>
      <c r="F46" s="3">
        <f>IF("입력"!B7="Y",E46,0)</f>
        <v/>
      </c>
      <c r="G46" s="3">
        <f>D46+F46</f>
        <v/>
      </c>
      <c r="H46" s="3">
        <f>"입력"!B6</f>
        <v/>
      </c>
      <c r="I46" s="3">
        <f>G46*H46</f>
        <v/>
      </c>
      <c r="J46" s="7">
        <f>IF(A46="","",A46-WEEKDAY(A46,2)+1)</f>
        <v/>
      </c>
      <c r="K46" s="3">
        <f>IF(A46="","",SUMIFS($G:$G,$J:$J,J46))</f>
        <v/>
      </c>
      <c r="L46" s="3">
        <f>IF(A46="","",COUNTIFS($J:$J,J46,$G:$G,"&gt;0"))</f>
        <v/>
      </c>
      <c r="M46" s="3">
        <f>IF(A46="","",IF(K46&gt;=15,"Y","N"))</f>
        <v/>
      </c>
      <c r="N46" s="3">
        <f>IF(A46="","",IF(M46="Y",K46/"입력"!B9,0))</f>
        <v/>
      </c>
      <c r="O46" s="3">
        <f>IF(A46="","",IF(A46=J46,N46*H46,0))</f>
        <v/>
      </c>
      <c r="P46" s="3" t="inlineStr"/>
    </row>
    <row r="47">
      <c r="A47" s="7">
        <f>IF(ROW()-1&lt;=("입력"!B5-"입력"!B4+1),"입력"!B4+ROW()-2,"")</f>
        <v/>
      </c>
      <c r="B47" s="3">
        <f>IF(A47="","",TEXT(A47,"aaa"))</f>
        <v/>
      </c>
      <c r="C47" s="3">
        <f>IF(A47="","",IF(NETWORKDAYS.INTL(A47,A47,"입력"!B11,"공휴일"!A:A)=1,"평일","휴일"))</f>
        <v/>
      </c>
      <c r="D47" s="3" t="n">
        <v>0</v>
      </c>
      <c r="E47" s="3" t="n">
        <v>0</v>
      </c>
      <c r="F47" s="3">
        <f>IF("입력"!B7="Y",E47,0)</f>
        <v/>
      </c>
      <c r="G47" s="3">
        <f>D47+F47</f>
        <v/>
      </c>
      <c r="H47" s="3">
        <f>"입력"!B6</f>
        <v/>
      </c>
      <c r="I47" s="3">
        <f>G47*H47</f>
        <v/>
      </c>
      <c r="J47" s="7">
        <f>IF(A47="","",A47-WEEKDAY(A47,2)+1)</f>
        <v/>
      </c>
      <c r="K47" s="3">
        <f>IF(A47="","",SUMIFS($G:$G,$J:$J,J47))</f>
        <v/>
      </c>
      <c r="L47" s="3">
        <f>IF(A47="","",COUNTIFS($J:$J,J47,$G:$G,"&gt;0"))</f>
        <v/>
      </c>
      <c r="M47" s="3">
        <f>IF(A47="","",IF(K47&gt;=15,"Y","N"))</f>
        <v/>
      </c>
      <c r="N47" s="3">
        <f>IF(A47="","",IF(M47="Y",K47/"입력"!B9,0))</f>
        <v/>
      </c>
      <c r="O47" s="3">
        <f>IF(A47="","",IF(A47=J47,N47*H47,0))</f>
        <v/>
      </c>
      <c r="P47" s="3" t="inlineStr"/>
    </row>
    <row r="48">
      <c r="A48" s="7">
        <f>IF(ROW()-1&lt;=("입력"!B5-"입력"!B4+1),"입력"!B4+ROW()-2,"")</f>
        <v/>
      </c>
      <c r="B48" s="3">
        <f>IF(A48="","",TEXT(A48,"aaa"))</f>
        <v/>
      </c>
      <c r="C48" s="3">
        <f>IF(A48="","",IF(NETWORKDAYS.INTL(A48,A48,"입력"!B11,"공휴일"!A:A)=1,"평일","휴일"))</f>
        <v/>
      </c>
      <c r="D48" s="3" t="n">
        <v>0</v>
      </c>
      <c r="E48" s="3" t="n">
        <v>0</v>
      </c>
      <c r="F48" s="3">
        <f>IF("입력"!B7="Y",E48,0)</f>
        <v/>
      </c>
      <c r="G48" s="3">
        <f>D48+F48</f>
        <v/>
      </c>
      <c r="H48" s="3">
        <f>"입력"!B6</f>
        <v/>
      </c>
      <c r="I48" s="3">
        <f>G48*H48</f>
        <v/>
      </c>
      <c r="J48" s="7">
        <f>IF(A48="","",A48-WEEKDAY(A48,2)+1)</f>
        <v/>
      </c>
      <c r="K48" s="3">
        <f>IF(A48="","",SUMIFS($G:$G,$J:$J,J48))</f>
        <v/>
      </c>
      <c r="L48" s="3">
        <f>IF(A48="","",COUNTIFS($J:$J,J48,$G:$G,"&gt;0"))</f>
        <v/>
      </c>
      <c r="M48" s="3">
        <f>IF(A48="","",IF(K48&gt;=15,"Y","N"))</f>
        <v/>
      </c>
      <c r="N48" s="3">
        <f>IF(A48="","",IF(M48="Y",K48/"입력"!B9,0))</f>
        <v/>
      </c>
      <c r="O48" s="3">
        <f>IF(A48="","",IF(A48=J48,N48*H48,0))</f>
        <v/>
      </c>
      <c r="P48" s="3" t="inlineStr"/>
    </row>
    <row r="49">
      <c r="A49" s="7">
        <f>IF(ROW()-1&lt;=("입력"!B5-"입력"!B4+1),"입력"!B4+ROW()-2,"")</f>
        <v/>
      </c>
      <c r="B49" s="3">
        <f>IF(A49="","",TEXT(A49,"aaa"))</f>
        <v/>
      </c>
      <c r="C49" s="3">
        <f>IF(A49="","",IF(NETWORKDAYS.INTL(A49,A49,"입력"!B11,"공휴일"!A:A)=1,"평일","휴일"))</f>
        <v/>
      </c>
      <c r="D49" s="3" t="n">
        <v>0</v>
      </c>
      <c r="E49" s="3" t="n">
        <v>0</v>
      </c>
      <c r="F49" s="3">
        <f>IF("입력"!B7="Y",E49,0)</f>
        <v/>
      </c>
      <c r="G49" s="3">
        <f>D49+F49</f>
        <v/>
      </c>
      <c r="H49" s="3">
        <f>"입력"!B6</f>
        <v/>
      </c>
      <c r="I49" s="3">
        <f>G49*H49</f>
        <v/>
      </c>
      <c r="J49" s="7">
        <f>IF(A49="","",A49-WEEKDAY(A49,2)+1)</f>
        <v/>
      </c>
      <c r="K49" s="3">
        <f>IF(A49="","",SUMIFS($G:$G,$J:$J,J49))</f>
        <v/>
      </c>
      <c r="L49" s="3">
        <f>IF(A49="","",COUNTIFS($J:$J,J49,$G:$G,"&gt;0"))</f>
        <v/>
      </c>
      <c r="M49" s="3">
        <f>IF(A49="","",IF(K49&gt;=15,"Y","N"))</f>
        <v/>
      </c>
      <c r="N49" s="3">
        <f>IF(A49="","",IF(M49="Y",K49/"입력"!B9,0))</f>
        <v/>
      </c>
      <c r="O49" s="3">
        <f>IF(A49="","",IF(A49=J49,N49*H49,0))</f>
        <v/>
      </c>
      <c r="P49" s="3" t="inlineStr"/>
    </row>
    <row r="50">
      <c r="A50" s="7">
        <f>IF(ROW()-1&lt;=("입력"!B5-"입력"!B4+1),"입력"!B4+ROW()-2,"")</f>
        <v/>
      </c>
      <c r="B50" s="3">
        <f>IF(A50="","",TEXT(A50,"aaa"))</f>
        <v/>
      </c>
      <c r="C50" s="3">
        <f>IF(A50="","",IF(NETWORKDAYS.INTL(A50,A50,"입력"!B11,"공휴일"!A:A)=1,"평일","휴일"))</f>
        <v/>
      </c>
      <c r="D50" s="3" t="n">
        <v>0</v>
      </c>
      <c r="E50" s="3" t="n">
        <v>0</v>
      </c>
      <c r="F50" s="3">
        <f>IF("입력"!B7="Y",E50,0)</f>
        <v/>
      </c>
      <c r="G50" s="3">
        <f>D50+F50</f>
        <v/>
      </c>
      <c r="H50" s="3">
        <f>"입력"!B6</f>
        <v/>
      </c>
      <c r="I50" s="3">
        <f>G50*H50</f>
        <v/>
      </c>
      <c r="J50" s="7">
        <f>IF(A50="","",A50-WEEKDAY(A50,2)+1)</f>
        <v/>
      </c>
      <c r="K50" s="3">
        <f>IF(A50="","",SUMIFS($G:$G,$J:$J,J50))</f>
        <v/>
      </c>
      <c r="L50" s="3">
        <f>IF(A50="","",COUNTIFS($J:$J,J50,$G:$G,"&gt;0"))</f>
        <v/>
      </c>
      <c r="M50" s="3">
        <f>IF(A50="","",IF(K50&gt;=15,"Y","N"))</f>
        <v/>
      </c>
      <c r="N50" s="3">
        <f>IF(A50="","",IF(M50="Y",K50/"입력"!B9,0))</f>
        <v/>
      </c>
      <c r="O50" s="3">
        <f>IF(A50="","",IF(A50=J50,N50*H50,0))</f>
        <v/>
      </c>
      <c r="P50" s="3" t="inlineStr"/>
    </row>
    <row r="51">
      <c r="A51" s="7">
        <f>IF(ROW()-1&lt;=("입력"!B5-"입력"!B4+1),"입력"!B4+ROW()-2,"")</f>
        <v/>
      </c>
      <c r="B51" s="3">
        <f>IF(A51="","",TEXT(A51,"aaa"))</f>
        <v/>
      </c>
      <c r="C51" s="3">
        <f>IF(A51="","",IF(NETWORKDAYS.INTL(A51,A51,"입력"!B11,"공휴일"!A:A)=1,"평일","휴일"))</f>
        <v/>
      </c>
      <c r="D51" s="3" t="n">
        <v>0</v>
      </c>
      <c r="E51" s="3" t="n">
        <v>0</v>
      </c>
      <c r="F51" s="3">
        <f>IF("입력"!B7="Y",E51,0)</f>
        <v/>
      </c>
      <c r="G51" s="3">
        <f>D51+F51</f>
        <v/>
      </c>
      <c r="H51" s="3">
        <f>"입력"!B6</f>
        <v/>
      </c>
      <c r="I51" s="3">
        <f>G51*H51</f>
        <v/>
      </c>
      <c r="J51" s="7">
        <f>IF(A51="","",A51-WEEKDAY(A51,2)+1)</f>
        <v/>
      </c>
      <c r="K51" s="3">
        <f>IF(A51="","",SUMIFS($G:$G,$J:$J,J51))</f>
        <v/>
      </c>
      <c r="L51" s="3">
        <f>IF(A51="","",COUNTIFS($J:$J,J51,$G:$G,"&gt;0"))</f>
        <v/>
      </c>
      <c r="M51" s="3">
        <f>IF(A51="","",IF(K51&gt;=15,"Y","N"))</f>
        <v/>
      </c>
      <c r="N51" s="3">
        <f>IF(A51="","",IF(M51="Y",K51/"입력"!B9,0))</f>
        <v/>
      </c>
      <c r="O51" s="3">
        <f>IF(A51="","",IF(A51=J51,N51*H51,0))</f>
        <v/>
      </c>
      <c r="P51" s="3" t="inlineStr"/>
    </row>
    <row r="52">
      <c r="A52" s="7">
        <f>IF(ROW()-1&lt;=("입력"!B5-"입력"!B4+1),"입력"!B4+ROW()-2,"")</f>
        <v/>
      </c>
      <c r="B52" s="3">
        <f>IF(A52="","",TEXT(A52,"aaa"))</f>
        <v/>
      </c>
      <c r="C52" s="3">
        <f>IF(A52="","",IF(NETWORKDAYS.INTL(A52,A52,"입력"!B11,"공휴일"!A:A)=1,"평일","휴일"))</f>
        <v/>
      </c>
      <c r="D52" s="3" t="n">
        <v>0</v>
      </c>
      <c r="E52" s="3" t="n">
        <v>0</v>
      </c>
      <c r="F52" s="3">
        <f>IF("입력"!B7="Y",E52,0)</f>
        <v/>
      </c>
      <c r="G52" s="3">
        <f>D52+F52</f>
        <v/>
      </c>
      <c r="H52" s="3">
        <f>"입력"!B6</f>
        <v/>
      </c>
      <c r="I52" s="3">
        <f>G52*H52</f>
        <v/>
      </c>
      <c r="J52" s="7">
        <f>IF(A52="","",A52-WEEKDAY(A52,2)+1)</f>
        <v/>
      </c>
      <c r="K52" s="3">
        <f>IF(A52="","",SUMIFS($G:$G,$J:$J,J52))</f>
        <v/>
      </c>
      <c r="L52" s="3">
        <f>IF(A52="","",COUNTIFS($J:$J,J52,$G:$G,"&gt;0"))</f>
        <v/>
      </c>
      <c r="M52" s="3">
        <f>IF(A52="","",IF(K52&gt;=15,"Y","N"))</f>
        <v/>
      </c>
      <c r="N52" s="3">
        <f>IF(A52="","",IF(M52="Y",K52/"입력"!B9,0))</f>
        <v/>
      </c>
      <c r="O52" s="3">
        <f>IF(A52="","",IF(A52=J52,N52*H52,0))</f>
        <v/>
      </c>
      <c r="P52" s="3" t="inlineStr"/>
    </row>
    <row r="53">
      <c r="A53" s="7">
        <f>IF(ROW()-1&lt;=("입력"!B5-"입력"!B4+1),"입력"!B4+ROW()-2,"")</f>
        <v/>
      </c>
      <c r="B53" s="3">
        <f>IF(A53="","",TEXT(A53,"aaa"))</f>
        <v/>
      </c>
      <c r="C53" s="3">
        <f>IF(A53="","",IF(NETWORKDAYS.INTL(A53,A53,"입력"!B11,"공휴일"!A:A)=1,"평일","휴일"))</f>
        <v/>
      </c>
      <c r="D53" s="3" t="n">
        <v>0</v>
      </c>
      <c r="E53" s="3" t="n">
        <v>0</v>
      </c>
      <c r="F53" s="3">
        <f>IF("입력"!B7="Y",E53,0)</f>
        <v/>
      </c>
      <c r="G53" s="3">
        <f>D53+F53</f>
        <v/>
      </c>
      <c r="H53" s="3">
        <f>"입력"!B6</f>
        <v/>
      </c>
      <c r="I53" s="3">
        <f>G53*H53</f>
        <v/>
      </c>
      <c r="J53" s="7">
        <f>IF(A53="","",A53-WEEKDAY(A53,2)+1)</f>
        <v/>
      </c>
      <c r="K53" s="3">
        <f>IF(A53="","",SUMIFS($G:$G,$J:$J,J53))</f>
        <v/>
      </c>
      <c r="L53" s="3">
        <f>IF(A53="","",COUNTIFS($J:$J,J53,$G:$G,"&gt;0"))</f>
        <v/>
      </c>
      <c r="M53" s="3">
        <f>IF(A53="","",IF(K53&gt;=15,"Y","N"))</f>
        <v/>
      </c>
      <c r="N53" s="3">
        <f>IF(A53="","",IF(M53="Y",K53/"입력"!B9,0))</f>
        <v/>
      </c>
      <c r="O53" s="3">
        <f>IF(A53="","",IF(A53=J53,N53*H53,0))</f>
        <v/>
      </c>
      <c r="P53" s="3" t="inlineStr"/>
    </row>
    <row r="54">
      <c r="A54" s="7">
        <f>IF(ROW()-1&lt;=("입력"!B5-"입력"!B4+1),"입력"!B4+ROW()-2,"")</f>
        <v/>
      </c>
      <c r="B54" s="3">
        <f>IF(A54="","",TEXT(A54,"aaa"))</f>
        <v/>
      </c>
      <c r="C54" s="3">
        <f>IF(A54="","",IF(NETWORKDAYS.INTL(A54,A54,"입력"!B11,"공휴일"!A:A)=1,"평일","휴일"))</f>
        <v/>
      </c>
      <c r="D54" s="3" t="n">
        <v>0</v>
      </c>
      <c r="E54" s="3" t="n">
        <v>0</v>
      </c>
      <c r="F54" s="3">
        <f>IF("입력"!B7="Y",E54,0)</f>
        <v/>
      </c>
      <c r="G54" s="3">
        <f>D54+F54</f>
        <v/>
      </c>
      <c r="H54" s="3">
        <f>"입력"!B6</f>
        <v/>
      </c>
      <c r="I54" s="3">
        <f>G54*H54</f>
        <v/>
      </c>
      <c r="J54" s="7">
        <f>IF(A54="","",A54-WEEKDAY(A54,2)+1)</f>
        <v/>
      </c>
      <c r="K54" s="3">
        <f>IF(A54="","",SUMIFS($G:$G,$J:$J,J54))</f>
        <v/>
      </c>
      <c r="L54" s="3">
        <f>IF(A54="","",COUNTIFS($J:$J,J54,$G:$G,"&gt;0"))</f>
        <v/>
      </c>
      <c r="M54" s="3">
        <f>IF(A54="","",IF(K54&gt;=15,"Y","N"))</f>
        <v/>
      </c>
      <c r="N54" s="3">
        <f>IF(A54="","",IF(M54="Y",K54/"입력"!B9,0))</f>
        <v/>
      </c>
      <c r="O54" s="3">
        <f>IF(A54="","",IF(A54=J54,N54*H54,0))</f>
        <v/>
      </c>
      <c r="P54" s="3" t="inlineStr"/>
    </row>
    <row r="55">
      <c r="A55" s="7">
        <f>IF(ROW()-1&lt;=("입력"!B5-"입력"!B4+1),"입력"!B4+ROW()-2,"")</f>
        <v/>
      </c>
      <c r="B55" s="3">
        <f>IF(A55="","",TEXT(A55,"aaa"))</f>
        <v/>
      </c>
      <c r="C55" s="3">
        <f>IF(A55="","",IF(NETWORKDAYS.INTL(A55,A55,"입력"!B11,"공휴일"!A:A)=1,"평일","휴일"))</f>
        <v/>
      </c>
      <c r="D55" s="3" t="n">
        <v>0</v>
      </c>
      <c r="E55" s="3" t="n">
        <v>0</v>
      </c>
      <c r="F55" s="3">
        <f>IF("입력"!B7="Y",E55,0)</f>
        <v/>
      </c>
      <c r="G55" s="3">
        <f>D55+F55</f>
        <v/>
      </c>
      <c r="H55" s="3">
        <f>"입력"!B6</f>
        <v/>
      </c>
      <c r="I55" s="3">
        <f>G55*H55</f>
        <v/>
      </c>
      <c r="J55" s="7">
        <f>IF(A55="","",A55-WEEKDAY(A55,2)+1)</f>
        <v/>
      </c>
      <c r="K55" s="3">
        <f>IF(A55="","",SUMIFS($G:$G,$J:$J,J55))</f>
        <v/>
      </c>
      <c r="L55" s="3">
        <f>IF(A55="","",COUNTIFS($J:$J,J55,$G:$G,"&gt;0"))</f>
        <v/>
      </c>
      <c r="M55" s="3">
        <f>IF(A55="","",IF(K55&gt;=15,"Y","N"))</f>
        <v/>
      </c>
      <c r="N55" s="3">
        <f>IF(A55="","",IF(M55="Y",K55/"입력"!B9,0))</f>
        <v/>
      </c>
      <c r="O55" s="3">
        <f>IF(A55="","",IF(A55=J55,N55*H55,0))</f>
        <v/>
      </c>
      <c r="P55" s="3" t="inlineStr"/>
    </row>
    <row r="56">
      <c r="A56" s="7">
        <f>IF(ROW()-1&lt;=("입력"!B5-"입력"!B4+1),"입력"!B4+ROW()-2,"")</f>
        <v/>
      </c>
      <c r="B56" s="3">
        <f>IF(A56="","",TEXT(A56,"aaa"))</f>
        <v/>
      </c>
      <c r="C56" s="3">
        <f>IF(A56="","",IF(NETWORKDAYS.INTL(A56,A56,"입력"!B11,"공휴일"!A:A)=1,"평일","휴일"))</f>
        <v/>
      </c>
      <c r="D56" s="3" t="n">
        <v>0</v>
      </c>
      <c r="E56" s="3" t="n">
        <v>0</v>
      </c>
      <c r="F56" s="3">
        <f>IF("입력"!B7="Y",E56,0)</f>
        <v/>
      </c>
      <c r="G56" s="3">
        <f>D56+F56</f>
        <v/>
      </c>
      <c r="H56" s="3">
        <f>"입력"!B6</f>
        <v/>
      </c>
      <c r="I56" s="3">
        <f>G56*H56</f>
        <v/>
      </c>
      <c r="J56" s="7">
        <f>IF(A56="","",A56-WEEKDAY(A56,2)+1)</f>
        <v/>
      </c>
      <c r="K56" s="3">
        <f>IF(A56="","",SUMIFS($G:$G,$J:$J,J56))</f>
        <v/>
      </c>
      <c r="L56" s="3">
        <f>IF(A56="","",COUNTIFS($J:$J,J56,$G:$G,"&gt;0"))</f>
        <v/>
      </c>
      <c r="M56" s="3">
        <f>IF(A56="","",IF(K56&gt;=15,"Y","N"))</f>
        <v/>
      </c>
      <c r="N56" s="3">
        <f>IF(A56="","",IF(M56="Y",K56/"입력"!B9,0))</f>
        <v/>
      </c>
      <c r="O56" s="3">
        <f>IF(A56="","",IF(A56=J56,N56*H56,0))</f>
        <v/>
      </c>
      <c r="P56" s="3" t="inlineStr"/>
    </row>
    <row r="57">
      <c r="A57" s="7">
        <f>IF(ROW()-1&lt;=("입력"!B5-"입력"!B4+1),"입력"!B4+ROW()-2,"")</f>
        <v/>
      </c>
      <c r="B57" s="3">
        <f>IF(A57="","",TEXT(A57,"aaa"))</f>
        <v/>
      </c>
      <c r="C57" s="3">
        <f>IF(A57="","",IF(NETWORKDAYS.INTL(A57,A57,"입력"!B11,"공휴일"!A:A)=1,"평일","휴일"))</f>
        <v/>
      </c>
      <c r="D57" s="3" t="n">
        <v>0</v>
      </c>
      <c r="E57" s="3" t="n">
        <v>0</v>
      </c>
      <c r="F57" s="3">
        <f>IF("입력"!B7="Y",E57,0)</f>
        <v/>
      </c>
      <c r="G57" s="3">
        <f>D57+F57</f>
        <v/>
      </c>
      <c r="H57" s="3">
        <f>"입력"!B6</f>
        <v/>
      </c>
      <c r="I57" s="3">
        <f>G57*H57</f>
        <v/>
      </c>
      <c r="J57" s="7">
        <f>IF(A57="","",A57-WEEKDAY(A57,2)+1)</f>
        <v/>
      </c>
      <c r="K57" s="3">
        <f>IF(A57="","",SUMIFS($G:$G,$J:$J,J57))</f>
        <v/>
      </c>
      <c r="L57" s="3">
        <f>IF(A57="","",COUNTIFS($J:$J,J57,$G:$G,"&gt;0"))</f>
        <v/>
      </c>
      <c r="M57" s="3">
        <f>IF(A57="","",IF(K57&gt;=15,"Y","N"))</f>
        <v/>
      </c>
      <c r="N57" s="3">
        <f>IF(A57="","",IF(M57="Y",K57/"입력"!B9,0))</f>
        <v/>
      </c>
      <c r="O57" s="3">
        <f>IF(A57="","",IF(A57=J57,N57*H57,0))</f>
        <v/>
      </c>
      <c r="P57" s="3" t="inlineStr"/>
    </row>
    <row r="58">
      <c r="A58" s="7">
        <f>IF(ROW()-1&lt;=("입력"!B5-"입력"!B4+1),"입력"!B4+ROW()-2,"")</f>
        <v/>
      </c>
      <c r="B58" s="3">
        <f>IF(A58="","",TEXT(A58,"aaa"))</f>
        <v/>
      </c>
      <c r="C58" s="3">
        <f>IF(A58="","",IF(NETWORKDAYS.INTL(A58,A58,"입력"!B11,"공휴일"!A:A)=1,"평일","휴일"))</f>
        <v/>
      </c>
      <c r="D58" s="3" t="n">
        <v>0</v>
      </c>
      <c r="E58" s="3" t="n">
        <v>0</v>
      </c>
      <c r="F58" s="3">
        <f>IF("입력"!B7="Y",E58,0)</f>
        <v/>
      </c>
      <c r="G58" s="3">
        <f>D58+F58</f>
        <v/>
      </c>
      <c r="H58" s="3">
        <f>"입력"!B6</f>
        <v/>
      </c>
      <c r="I58" s="3">
        <f>G58*H58</f>
        <v/>
      </c>
      <c r="J58" s="7">
        <f>IF(A58="","",A58-WEEKDAY(A58,2)+1)</f>
        <v/>
      </c>
      <c r="K58" s="3">
        <f>IF(A58="","",SUMIFS($G:$G,$J:$J,J58))</f>
        <v/>
      </c>
      <c r="L58" s="3">
        <f>IF(A58="","",COUNTIFS($J:$J,J58,$G:$G,"&gt;0"))</f>
        <v/>
      </c>
      <c r="M58" s="3">
        <f>IF(A58="","",IF(K58&gt;=15,"Y","N"))</f>
        <v/>
      </c>
      <c r="N58" s="3">
        <f>IF(A58="","",IF(M58="Y",K58/"입력"!B9,0))</f>
        <v/>
      </c>
      <c r="O58" s="3">
        <f>IF(A58="","",IF(A58=J58,N58*H58,0))</f>
        <v/>
      </c>
      <c r="P58" s="3" t="inlineStr"/>
    </row>
    <row r="59">
      <c r="A59" s="7">
        <f>IF(ROW()-1&lt;=("입력"!B5-"입력"!B4+1),"입력"!B4+ROW()-2,"")</f>
        <v/>
      </c>
      <c r="B59" s="3">
        <f>IF(A59="","",TEXT(A59,"aaa"))</f>
        <v/>
      </c>
      <c r="C59" s="3">
        <f>IF(A59="","",IF(NETWORKDAYS.INTL(A59,A59,"입력"!B11,"공휴일"!A:A)=1,"평일","휴일"))</f>
        <v/>
      </c>
      <c r="D59" s="3" t="n">
        <v>0</v>
      </c>
      <c r="E59" s="3" t="n">
        <v>0</v>
      </c>
      <c r="F59" s="3">
        <f>IF("입력"!B7="Y",E59,0)</f>
        <v/>
      </c>
      <c r="G59" s="3">
        <f>D59+F59</f>
        <v/>
      </c>
      <c r="H59" s="3">
        <f>"입력"!B6</f>
        <v/>
      </c>
      <c r="I59" s="3">
        <f>G59*H59</f>
        <v/>
      </c>
      <c r="J59" s="7">
        <f>IF(A59="","",A59-WEEKDAY(A59,2)+1)</f>
        <v/>
      </c>
      <c r="K59" s="3">
        <f>IF(A59="","",SUMIFS($G:$G,$J:$J,J59))</f>
        <v/>
      </c>
      <c r="L59" s="3">
        <f>IF(A59="","",COUNTIFS($J:$J,J59,$G:$G,"&gt;0"))</f>
        <v/>
      </c>
      <c r="M59" s="3">
        <f>IF(A59="","",IF(K59&gt;=15,"Y","N"))</f>
        <v/>
      </c>
      <c r="N59" s="3">
        <f>IF(A59="","",IF(M59="Y",K59/"입력"!B9,0))</f>
        <v/>
      </c>
      <c r="O59" s="3">
        <f>IF(A59="","",IF(A59=J59,N59*H59,0))</f>
        <v/>
      </c>
      <c r="P59" s="3" t="inlineStr"/>
    </row>
    <row r="60">
      <c r="A60" s="7">
        <f>IF(ROW()-1&lt;=("입력"!B5-"입력"!B4+1),"입력"!B4+ROW()-2,"")</f>
        <v/>
      </c>
      <c r="B60" s="3">
        <f>IF(A60="","",TEXT(A60,"aaa"))</f>
        <v/>
      </c>
      <c r="C60" s="3">
        <f>IF(A60="","",IF(NETWORKDAYS.INTL(A60,A60,"입력"!B11,"공휴일"!A:A)=1,"평일","휴일"))</f>
        <v/>
      </c>
      <c r="D60" s="3" t="n">
        <v>0</v>
      </c>
      <c r="E60" s="3" t="n">
        <v>0</v>
      </c>
      <c r="F60" s="3">
        <f>IF("입력"!B7="Y",E60,0)</f>
        <v/>
      </c>
      <c r="G60" s="3">
        <f>D60+F60</f>
        <v/>
      </c>
      <c r="H60" s="3">
        <f>"입력"!B6</f>
        <v/>
      </c>
      <c r="I60" s="3">
        <f>G60*H60</f>
        <v/>
      </c>
      <c r="J60" s="7">
        <f>IF(A60="","",A60-WEEKDAY(A60,2)+1)</f>
        <v/>
      </c>
      <c r="K60" s="3">
        <f>IF(A60="","",SUMIFS($G:$G,$J:$J,J60))</f>
        <v/>
      </c>
      <c r="L60" s="3">
        <f>IF(A60="","",COUNTIFS($J:$J,J60,$G:$G,"&gt;0"))</f>
        <v/>
      </c>
      <c r="M60" s="3">
        <f>IF(A60="","",IF(K60&gt;=15,"Y","N"))</f>
        <v/>
      </c>
      <c r="N60" s="3">
        <f>IF(A60="","",IF(M60="Y",K60/"입력"!B9,0))</f>
        <v/>
      </c>
      <c r="O60" s="3">
        <f>IF(A60="","",IF(A60=J60,N60*H60,0))</f>
        <v/>
      </c>
      <c r="P60" s="3" t="inlineStr"/>
    </row>
    <row r="61">
      <c r="A61" s="7">
        <f>IF(ROW()-1&lt;=("입력"!B5-"입력"!B4+1),"입력"!B4+ROW()-2,"")</f>
        <v/>
      </c>
      <c r="B61" s="3">
        <f>IF(A61="","",TEXT(A61,"aaa"))</f>
        <v/>
      </c>
      <c r="C61" s="3">
        <f>IF(A61="","",IF(NETWORKDAYS.INTL(A61,A61,"입력"!B11,"공휴일"!A:A)=1,"평일","휴일"))</f>
        <v/>
      </c>
      <c r="D61" s="3" t="n">
        <v>0</v>
      </c>
      <c r="E61" s="3" t="n">
        <v>0</v>
      </c>
      <c r="F61" s="3">
        <f>IF("입력"!B7="Y",E61,0)</f>
        <v/>
      </c>
      <c r="G61" s="3">
        <f>D61+F61</f>
        <v/>
      </c>
      <c r="H61" s="3">
        <f>"입력"!B6</f>
        <v/>
      </c>
      <c r="I61" s="3">
        <f>G61*H61</f>
        <v/>
      </c>
      <c r="J61" s="7">
        <f>IF(A61="","",A61-WEEKDAY(A61,2)+1)</f>
        <v/>
      </c>
      <c r="K61" s="3">
        <f>IF(A61="","",SUMIFS($G:$G,$J:$J,J61))</f>
        <v/>
      </c>
      <c r="L61" s="3">
        <f>IF(A61="","",COUNTIFS($J:$J,J61,$G:$G,"&gt;0"))</f>
        <v/>
      </c>
      <c r="M61" s="3">
        <f>IF(A61="","",IF(K61&gt;=15,"Y","N"))</f>
        <v/>
      </c>
      <c r="N61" s="3">
        <f>IF(A61="","",IF(M61="Y",K61/"입력"!B9,0))</f>
        <v/>
      </c>
      <c r="O61" s="3">
        <f>IF(A61="","",IF(A61=J61,N61*H61,0))</f>
        <v/>
      </c>
      <c r="P61" s="3" t="inlineStr"/>
    </row>
    <row r="62">
      <c r="A62" s="7">
        <f>IF(ROW()-1&lt;=("입력"!B5-"입력"!B4+1),"입력"!B4+ROW()-2,"")</f>
        <v/>
      </c>
      <c r="B62" s="3">
        <f>IF(A62="","",TEXT(A62,"aaa"))</f>
        <v/>
      </c>
      <c r="C62" s="3">
        <f>IF(A62="","",IF(NETWORKDAYS.INTL(A62,A62,"입력"!B11,"공휴일"!A:A)=1,"평일","휴일"))</f>
        <v/>
      </c>
      <c r="D62" s="3" t="n">
        <v>0</v>
      </c>
      <c r="E62" s="3" t="n">
        <v>0</v>
      </c>
      <c r="F62" s="3">
        <f>IF("입력"!B7="Y",E62,0)</f>
        <v/>
      </c>
      <c r="G62" s="3">
        <f>D62+F62</f>
        <v/>
      </c>
      <c r="H62" s="3">
        <f>"입력"!B6</f>
        <v/>
      </c>
      <c r="I62" s="3">
        <f>G62*H62</f>
        <v/>
      </c>
      <c r="J62" s="7">
        <f>IF(A62="","",A62-WEEKDAY(A62,2)+1)</f>
        <v/>
      </c>
      <c r="K62" s="3">
        <f>IF(A62="","",SUMIFS($G:$G,$J:$J,J62))</f>
        <v/>
      </c>
      <c r="L62" s="3">
        <f>IF(A62="","",COUNTIFS($J:$J,J62,$G:$G,"&gt;0"))</f>
        <v/>
      </c>
      <c r="M62" s="3">
        <f>IF(A62="","",IF(K62&gt;=15,"Y","N"))</f>
        <v/>
      </c>
      <c r="N62" s="3">
        <f>IF(A62="","",IF(M62="Y",K62/"입력"!B9,0))</f>
        <v/>
      </c>
      <c r="O62" s="3">
        <f>IF(A62="","",IF(A62=J62,N62*H62,0))</f>
        <v/>
      </c>
      <c r="P62" s="3" t="inlineStr"/>
    </row>
    <row r="63">
      <c r="A63" s="7">
        <f>IF(ROW()-1&lt;=("입력"!B5-"입력"!B4+1),"입력"!B4+ROW()-2,"")</f>
        <v/>
      </c>
      <c r="B63" s="3">
        <f>IF(A63="","",TEXT(A63,"aaa"))</f>
        <v/>
      </c>
      <c r="C63" s="3">
        <f>IF(A63="","",IF(NETWORKDAYS.INTL(A63,A63,"입력"!B11,"공휴일"!A:A)=1,"평일","휴일"))</f>
        <v/>
      </c>
      <c r="D63" s="3" t="n">
        <v>0</v>
      </c>
      <c r="E63" s="3" t="n">
        <v>0</v>
      </c>
      <c r="F63" s="3">
        <f>IF("입력"!B7="Y",E63,0)</f>
        <v/>
      </c>
      <c r="G63" s="3">
        <f>D63+F63</f>
        <v/>
      </c>
      <c r="H63" s="3">
        <f>"입력"!B6</f>
        <v/>
      </c>
      <c r="I63" s="3">
        <f>G63*H63</f>
        <v/>
      </c>
      <c r="J63" s="7">
        <f>IF(A63="","",A63-WEEKDAY(A63,2)+1)</f>
        <v/>
      </c>
      <c r="K63" s="3">
        <f>IF(A63="","",SUMIFS($G:$G,$J:$J,J63))</f>
        <v/>
      </c>
      <c r="L63" s="3">
        <f>IF(A63="","",COUNTIFS($J:$J,J63,$G:$G,"&gt;0"))</f>
        <v/>
      </c>
      <c r="M63" s="3">
        <f>IF(A63="","",IF(K63&gt;=15,"Y","N"))</f>
        <v/>
      </c>
      <c r="N63" s="3">
        <f>IF(A63="","",IF(M63="Y",K63/"입력"!B9,0))</f>
        <v/>
      </c>
      <c r="O63" s="3">
        <f>IF(A63="","",IF(A63=J63,N63*H63,0))</f>
        <v/>
      </c>
      <c r="P63" s="3" t="inlineStr"/>
    </row>
    <row r="64">
      <c r="A64" s="7">
        <f>IF(ROW()-1&lt;=("입력"!B5-"입력"!B4+1),"입력"!B4+ROW()-2,"")</f>
        <v/>
      </c>
      <c r="B64" s="3">
        <f>IF(A64="","",TEXT(A64,"aaa"))</f>
        <v/>
      </c>
      <c r="C64" s="3">
        <f>IF(A64="","",IF(NETWORKDAYS.INTL(A64,A64,"입력"!B11,"공휴일"!A:A)=1,"평일","휴일"))</f>
        <v/>
      </c>
      <c r="D64" s="3" t="n">
        <v>0</v>
      </c>
      <c r="E64" s="3" t="n">
        <v>0</v>
      </c>
      <c r="F64" s="3">
        <f>IF("입력"!B7="Y",E64,0)</f>
        <v/>
      </c>
      <c r="G64" s="3">
        <f>D64+F64</f>
        <v/>
      </c>
      <c r="H64" s="3">
        <f>"입력"!B6</f>
        <v/>
      </c>
      <c r="I64" s="3">
        <f>G64*H64</f>
        <v/>
      </c>
      <c r="J64" s="7">
        <f>IF(A64="","",A64-WEEKDAY(A64,2)+1)</f>
        <v/>
      </c>
      <c r="K64" s="3">
        <f>IF(A64="","",SUMIFS($G:$G,$J:$J,J64))</f>
        <v/>
      </c>
      <c r="L64" s="3">
        <f>IF(A64="","",COUNTIFS($J:$J,J64,$G:$G,"&gt;0"))</f>
        <v/>
      </c>
      <c r="M64" s="3">
        <f>IF(A64="","",IF(K64&gt;=15,"Y","N"))</f>
        <v/>
      </c>
      <c r="N64" s="3">
        <f>IF(A64="","",IF(M64="Y",K64/"입력"!B9,0))</f>
        <v/>
      </c>
      <c r="O64" s="3">
        <f>IF(A64="","",IF(A64=J64,N64*H64,0))</f>
        <v/>
      </c>
      <c r="P64" s="3" t="inlineStr"/>
    </row>
    <row r="65">
      <c r="A65" s="7">
        <f>IF(ROW()-1&lt;=("입력"!B5-"입력"!B4+1),"입력"!B4+ROW()-2,"")</f>
        <v/>
      </c>
      <c r="B65" s="3">
        <f>IF(A65="","",TEXT(A65,"aaa"))</f>
        <v/>
      </c>
      <c r="C65" s="3">
        <f>IF(A65="","",IF(NETWORKDAYS.INTL(A65,A65,"입력"!B11,"공휴일"!A:A)=1,"평일","휴일"))</f>
        <v/>
      </c>
      <c r="D65" s="3" t="n">
        <v>0</v>
      </c>
      <c r="E65" s="3" t="n">
        <v>0</v>
      </c>
      <c r="F65" s="3">
        <f>IF("입력"!B7="Y",E65,0)</f>
        <v/>
      </c>
      <c r="G65" s="3">
        <f>D65+F65</f>
        <v/>
      </c>
      <c r="H65" s="3">
        <f>"입력"!B6</f>
        <v/>
      </c>
      <c r="I65" s="3">
        <f>G65*H65</f>
        <v/>
      </c>
      <c r="J65" s="7">
        <f>IF(A65="","",A65-WEEKDAY(A65,2)+1)</f>
        <v/>
      </c>
      <c r="K65" s="3">
        <f>IF(A65="","",SUMIFS($G:$G,$J:$J,J65))</f>
        <v/>
      </c>
      <c r="L65" s="3">
        <f>IF(A65="","",COUNTIFS($J:$J,J65,$G:$G,"&gt;0"))</f>
        <v/>
      </c>
      <c r="M65" s="3">
        <f>IF(A65="","",IF(K65&gt;=15,"Y","N"))</f>
        <v/>
      </c>
      <c r="N65" s="3">
        <f>IF(A65="","",IF(M65="Y",K65/"입력"!B9,0))</f>
        <v/>
      </c>
      <c r="O65" s="3">
        <f>IF(A65="","",IF(A65=J65,N65*H65,0))</f>
        <v/>
      </c>
      <c r="P65" s="3" t="inlineStr"/>
    </row>
    <row r="66">
      <c r="A66" s="7">
        <f>IF(ROW()-1&lt;=("입력"!B5-"입력"!B4+1),"입력"!B4+ROW()-2,"")</f>
        <v/>
      </c>
      <c r="B66" s="3">
        <f>IF(A66="","",TEXT(A66,"aaa"))</f>
        <v/>
      </c>
      <c r="C66" s="3">
        <f>IF(A66="","",IF(NETWORKDAYS.INTL(A66,A66,"입력"!B11,"공휴일"!A:A)=1,"평일","휴일"))</f>
        <v/>
      </c>
      <c r="D66" s="3" t="n">
        <v>0</v>
      </c>
      <c r="E66" s="3" t="n">
        <v>0</v>
      </c>
      <c r="F66" s="3">
        <f>IF("입력"!B7="Y",E66,0)</f>
        <v/>
      </c>
      <c r="G66" s="3">
        <f>D66+F66</f>
        <v/>
      </c>
      <c r="H66" s="3">
        <f>"입력"!B6</f>
        <v/>
      </c>
      <c r="I66" s="3">
        <f>G66*H66</f>
        <v/>
      </c>
      <c r="J66" s="7">
        <f>IF(A66="","",A66-WEEKDAY(A66,2)+1)</f>
        <v/>
      </c>
      <c r="K66" s="3">
        <f>IF(A66="","",SUMIFS($G:$G,$J:$J,J66))</f>
        <v/>
      </c>
      <c r="L66" s="3">
        <f>IF(A66="","",COUNTIFS($J:$J,J66,$G:$G,"&gt;0"))</f>
        <v/>
      </c>
      <c r="M66" s="3">
        <f>IF(A66="","",IF(K66&gt;=15,"Y","N"))</f>
        <v/>
      </c>
      <c r="N66" s="3">
        <f>IF(A66="","",IF(M66="Y",K66/"입력"!B9,0))</f>
        <v/>
      </c>
      <c r="O66" s="3">
        <f>IF(A66="","",IF(A66=J66,N66*H66,0))</f>
        <v/>
      </c>
      <c r="P66" s="3" t="inlineStr"/>
    </row>
    <row r="67">
      <c r="A67" s="7">
        <f>IF(ROW()-1&lt;=("입력"!B5-"입력"!B4+1),"입력"!B4+ROW()-2,"")</f>
        <v/>
      </c>
      <c r="B67" s="3">
        <f>IF(A67="","",TEXT(A67,"aaa"))</f>
        <v/>
      </c>
      <c r="C67" s="3">
        <f>IF(A67="","",IF(NETWORKDAYS.INTL(A67,A67,"입력"!B11,"공휴일"!A:A)=1,"평일","휴일"))</f>
        <v/>
      </c>
      <c r="D67" s="3" t="n">
        <v>0</v>
      </c>
      <c r="E67" s="3" t="n">
        <v>0</v>
      </c>
      <c r="F67" s="3">
        <f>IF("입력"!B7="Y",E67,0)</f>
        <v/>
      </c>
      <c r="G67" s="3">
        <f>D67+F67</f>
        <v/>
      </c>
      <c r="H67" s="3">
        <f>"입력"!B6</f>
        <v/>
      </c>
      <c r="I67" s="3">
        <f>G67*H67</f>
        <v/>
      </c>
      <c r="J67" s="7">
        <f>IF(A67="","",A67-WEEKDAY(A67,2)+1)</f>
        <v/>
      </c>
      <c r="K67" s="3">
        <f>IF(A67="","",SUMIFS($G:$G,$J:$J,J67))</f>
        <v/>
      </c>
      <c r="L67" s="3">
        <f>IF(A67="","",COUNTIFS($J:$J,J67,$G:$G,"&gt;0"))</f>
        <v/>
      </c>
      <c r="M67" s="3">
        <f>IF(A67="","",IF(K67&gt;=15,"Y","N"))</f>
        <v/>
      </c>
      <c r="N67" s="3">
        <f>IF(A67="","",IF(M67="Y",K67/"입력"!B9,0))</f>
        <v/>
      </c>
      <c r="O67" s="3">
        <f>IF(A67="","",IF(A67=J67,N67*H67,0))</f>
        <v/>
      </c>
      <c r="P67" s="3" t="inlineStr"/>
    </row>
    <row r="68">
      <c r="A68" s="7">
        <f>IF(ROW()-1&lt;=("입력"!B5-"입력"!B4+1),"입력"!B4+ROW()-2,"")</f>
        <v/>
      </c>
      <c r="B68" s="3">
        <f>IF(A68="","",TEXT(A68,"aaa"))</f>
        <v/>
      </c>
      <c r="C68" s="3">
        <f>IF(A68="","",IF(NETWORKDAYS.INTL(A68,A68,"입력"!B11,"공휴일"!A:A)=1,"평일","휴일"))</f>
        <v/>
      </c>
      <c r="D68" s="3" t="n">
        <v>0</v>
      </c>
      <c r="E68" s="3" t="n">
        <v>0</v>
      </c>
      <c r="F68" s="3">
        <f>IF("입력"!B7="Y",E68,0)</f>
        <v/>
      </c>
      <c r="G68" s="3">
        <f>D68+F68</f>
        <v/>
      </c>
      <c r="H68" s="3">
        <f>"입력"!B6</f>
        <v/>
      </c>
      <c r="I68" s="3">
        <f>G68*H68</f>
        <v/>
      </c>
      <c r="J68" s="7">
        <f>IF(A68="","",A68-WEEKDAY(A68,2)+1)</f>
        <v/>
      </c>
      <c r="K68" s="3">
        <f>IF(A68="","",SUMIFS($G:$G,$J:$J,J68))</f>
        <v/>
      </c>
      <c r="L68" s="3">
        <f>IF(A68="","",COUNTIFS($J:$J,J68,$G:$G,"&gt;0"))</f>
        <v/>
      </c>
      <c r="M68" s="3">
        <f>IF(A68="","",IF(K68&gt;=15,"Y","N"))</f>
        <v/>
      </c>
      <c r="N68" s="3">
        <f>IF(A68="","",IF(M68="Y",K68/"입력"!B9,0))</f>
        <v/>
      </c>
      <c r="O68" s="3">
        <f>IF(A68="","",IF(A68=J68,N68*H68,0))</f>
        <v/>
      </c>
      <c r="P68" s="3" t="inlineStr"/>
    </row>
    <row r="69">
      <c r="A69" s="7">
        <f>IF(ROW()-1&lt;=("입력"!B5-"입력"!B4+1),"입력"!B4+ROW()-2,"")</f>
        <v/>
      </c>
      <c r="B69" s="3">
        <f>IF(A69="","",TEXT(A69,"aaa"))</f>
        <v/>
      </c>
      <c r="C69" s="3">
        <f>IF(A69="","",IF(NETWORKDAYS.INTL(A69,A69,"입력"!B11,"공휴일"!A:A)=1,"평일","휴일"))</f>
        <v/>
      </c>
      <c r="D69" s="3" t="n">
        <v>0</v>
      </c>
      <c r="E69" s="3" t="n">
        <v>0</v>
      </c>
      <c r="F69" s="3">
        <f>IF("입력"!B7="Y",E69,0)</f>
        <v/>
      </c>
      <c r="G69" s="3">
        <f>D69+F69</f>
        <v/>
      </c>
      <c r="H69" s="3">
        <f>"입력"!B6</f>
        <v/>
      </c>
      <c r="I69" s="3">
        <f>G69*H69</f>
        <v/>
      </c>
      <c r="J69" s="7">
        <f>IF(A69="","",A69-WEEKDAY(A69,2)+1)</f>
        <v/>
      </c>
      <c r="K69" s="3">
        <f>IF(A69="","",SUMIFS($G:$G,$J:$J,J69))</f>
        <v/>
      </c>
      <c r="L69" s="3">
        <f>IF(A69="","",COUNTIFS($J:$J,J69,$G:$G,"&gt;0"))</f>
        <v/>
      </c>
      <c r="M69" s="3">
        <f>IF(A69="","",IF(K69&gt;=15,"Y","N"))</f>
        <v/>
      </c>
      <c r="N69" s="3">
        <f>IF(A69="","",IF(M69="Y",K69/"입력"!B9,0))</f>
        <v/>
      </c>
      <c r="O69" s="3">
        <f>IF(A69="","",IF(A69=J69,N69*H69,0))</f>
        <v/>
      </c>
      <c r="P69" s="3" t="inlineStr"/>
    </row>
    <row r="70">
      <c r="A70" s="7">
        <f>IF(ROW()-1&lt;=("입력"!B5-"입력"!B4+1),"입력"!B4+ROW()-2,"")</f>
        <v/>
      </c>
      <c r="B70" s="3">
        <f>IF(A70="","",TEXT(A70,"aaa"))</f>
        <v/>
      </c>
      <c r="C70" s="3">
        <f>IF(A70="","",IF(NETWORKDAYS.INTL(A70,A70,"입력"!B11,"공휴일"!A:A)=1,"평일","휴일"))</f>
        <v/>
      </c>
      <c r="D70" s="3" t="n">
        <v>0</v>
      </c>
      <c r="E70" s="3" t="n">
        <v>0</v>
      </c>
      <c r="F70" s="3">
        <f>IF("입력"!B7="Y",E70,0)</f>
        <v/>
      </c>
      <c r="G70" s="3">
        <f>D70+F70</f>
        <v/>
      </c>
      <c r="H70" s="3">
        <f>"입력"!B6</f>
        <v/>
      </c>
      <c r="I70" s="3">
        <f>G70*H70</f>
        <v/>
      </c>
      <c r="J70" s="7">
        <f>IF(A70="","",A70-WEEKDAY(A70,2)+1)</f>
        <v/>
      </c>
      <c r="K70" s="3">
        <f>IF(A70="","",SUMIFS($G:$G,$J:$J,J70))</f>
        <v/>
      </c>
      <c r="L70" s="3">
        <f>IF(A70="","",COUNTIFS($J:$J,J70,$G:$G,"&gt;0"))</f>
        <v/>
      </c>
      <c r="M70" s="3">
        <f>IF(A70="","",IF(K70&gt;=15,"Y","N"))</f>
        <v/>
      </c>
      <c r="N70" s="3">
        <f>IF(A70="","",IF(M70="Y",K70/"입력"!B9,0))</f>
        <v/>
      </c>
      <c r="O70" s="3">
        <f>IF(A70="","",IF(A70=J70,N70*H70,0))</f>
        <v/>
      </c>
      <c r="P70" s="3" t="inlineStr"/>
    </row>
    <row r="71">
      <c r="A71" s="7">
        <f>IF(ROW()-1&lt;=("입력"!B5-"입력"!B4+1),"입력"!B4+ROW()-2,"")</f>
        <v/>
      </c>
      <c r="B71" s="3">
        <f>IF(A71="","",TEXT(A71,"aaa"))</f>
        <v/>
      </c>
      <c r="C71" s="3">
        <f>IF(A71="","",IF(NETWORKDAYS.INTL(A71,A71,"입력"!B11,"공휴일"!A:A)=1,"평일","휴일"))</f>
        <v/>
      </c>
      <c r="D71" s="3" t="n">
        <v>0</v>
      </c>
      <c r="E71" s="3" t="n">
        <v>0</v>
      </c>
      <c r="F71" s="3">
        <f>IF("입력"!B7="Y",E71,0)</f>
        <v/>
      </c>
      <c r="G71" s="3">
        <f>D71+F71</f>
        <v/>
      </c>
      <c r="H71" s="3">
        <f>"입력"!B6</f>
        <v/>
      </c>
      <c r="I71" s="3">
        <f>G71*H71</f>
        <v/>
      </c>
      <c r="J71" s="7">
        <f>IF(A71="","",A71-WEEKDAY(A71,2)+1)</f>
        <v/>
      </c>
      <c r="K71" s="3">
        <f>IF(A71="","",SUMIFS($G:$G,$J:$J,J71))</f>
        <v/>
      </c>
      <c r="L71" s="3">
        <f>IF(A71="","",COUNTIFS($J:$J,J71,$G:$G,"&gt;0"))</f>
        <v/>
      </c>
      <c r="M71" s="3">
        <f>IF(A71="","",IF(K71&gt;=15,"Y","N"))</f>
        <v/>
      </c>
      <c r="N71" s="3">
        <f>IF(A71="","",IF(M71="Y",K71/"입력"!B9,0))</f>
        <v/>
      </c>
      <c r="O71" s="3">
        <f>IF(A71="","",IF(A71=J71,N71*H71,0))</f>
        <v/>
      </c>
      <c r="P71" s="3" t="inlineStr"/>
    </row>
    <row r="72">
      <c r="A72" s="7">
        <f>IF(ROW()-1&lt;=("입력"!B5-"입력"!B4+1),"입력"!B4+ROW()-2,"")</f>
        <v/>
      </c>
      <c r="B72" s="3">
        <f>IF(A72="","",TEXT(A72,"aaa"))</f>
        <v/>
      </c>
      <c r="C72" s="3">
        <f>IF(A72="","",IF(NETWORKDAYS.INTL(A72,A72,"입력"!B11,"공휴일"!A:A)=1,"평일","휴일"))</f>
        <v/>
      </c>
      <c r="D72" s="3" t="n">
        <v>0</v>
      </c>
      <c r="E72" s="3" t="n">
        <v>0</v>
      </c>
      <c r="F72" s="3">
        <f>IF("입력"!B7="Y",E72,0)</f>
        <v/>
      </c>
      <c r="G72" s="3">
        <f>D72+F72</f>
        <v/>
      </c>
      <c r="H72" s="3">
        <f>"입력"!B6</f>
        <v/>
      </c>
      <c r="I72" s="3">
        <f>G72*H72</f>
        <v/>
      </c>
      <c r="J72" s="7">
        <f>IF(A72="","",A72-WEEKDAY(A72,2)+1)</f>
        <v/>
      </c>
      <c r="K72" s="3">
        <f>IF(A72="","",SUMIFS($G:$G,$J:$J,J72))</f>
        <v/>
      </c>
      <c r="L72" s="3">
        <f>IF(A72="","",COUNTIFS($J:$J,J72,$G:$G,"&gt;0"))</f>
        <v/>
      </c>
      <c r="M72" s="3">
        <f>IF(A72="","",IF(K72&gt;=15,"Y","N"))</f>
        <v/>
      </c>
      <c r="N72" s="3">
        <f>IF(A72="","",IF(M72="Y",K72/"입력"!B9,0))</f>
        <v/>
      </c>
      <c r="O72" s="3">
        <f>IF(A72="","",IF(A72=J72,N72*H72,0))</f>
        <v/>
      </c>
      <c r="P72" s="3" t="inlineStr"/>
    </row>
    <row r="73">
      <c r="A73" s="7">
        <f>IF(ROW()-1&lt;=("입력"!B5-"입력"!B4+1),"입력"!B4+ROW()-2,"")</f>
        <v/>
      </c>
      <c r="B73" s="3">
        <f>IF(A73="","",TEXT(A73,"aaa"))</f>
        <v/>
      </c>
      <c r="C73" s="3">
        <f>IF(A73="","",IF(NETWORKDAYS.INTL(A73,A73,"입력"!B11,"공휴일"!A:A)=1,"평일","휴일"))</f>
        <v/>
      </c>
      <c r="D73" s="3" t="n">
        <v>0</v>
      </c>
      <c r="E73" s="3" t="n">
        <v>0</v>
      </c>
      <c r="F73" s="3">
        <f>IF("입력"!B7="Y",E73,0)</f>
        <v/>
      </c>
      <c r="G73" s="3">
        <f>D73+F73</f>
        <v/>
      </c>
      <c r="H73" s="3">
        <f>"입력"!B6</f>
        <v/>
      </c>
      <c r="I73" s="3">
        <f>G73*H73</f>
        <v/>
      </c>
      <c r="J73" s="7">
        <f>IF(A73="","",A73-WEEKDAY(A73,2)+1)</f>
        <v/>
      </c>
      <c r="K73" s="3">
        <f>IF(A73="","",SUMIFS($G:$G,$J:$J,J73))</f>
        <v/>
      </c>
      <c r="L73" s="3">
        <f>IF(A73="","",COUNTIFS($J:$J,J73,$G:$G,"&gt;0"))</f>
        <v/>
      </c>
      <c r="M73" s="3">
        <f>IF(A73="","",IF(K73&gt;=15,"Y","N"))</f>
        <v/>
      </c>
      <c r="N73" s="3">
        <f>IF(A73="","",IF(M73="Y",K73/"입력"!B9,0))</f>
        <v/>
      </c>
      <c r="O73" s="3">
        <f>IF(A73="","",IF(A73=J73,N73*H73,0))</f>
        <v/>
      </c>
      <c r="P73" s="3" t="inlineStr"/>
    </row>
    <row r="74">
      <c r="A74" s="7">
        <f>IF(ROW()-1&lt;=("입력"!B5-"입력"!B4+1),"입력"!B4+ROW()-2,"")</f>
        <v/>
      </c>
      <c r="B74" s="3">
        <f>IF(A74="","",TEXT(A74,"aaa"))</f>
        <v/>
      </c>
      <c r="C74" s="3">
        <f>IF(A74="","",IF(NETWORKDAYS.INTL(A74,A74,"입력"!B11,"공휴일"!A:A)=1,"평일","휴일"))</f>
        <v/>
      </c>
      <c r="D74" s="3" t="n">
        <v>0</v>
      </c>
      <c r="E74" s="3" t="n">
        <v>0</v>
      </c>
      <c r="F74" s="3">
        <f>IF("입력"!B7="Y",E74,0)</f>
        <v/>
      </c>
      <c r="G74" s="3">
        <f>D74+F74</f>
        <v/>
      </c>
      <c r="H74" s="3">
        <f>"입력"!B6</f>
        <v/>
      </c>
      <c r="I74" s="3">
        <f>G74*H74</f>
        <v/>
      </c>
      <c r="J74" s="7">
        <f>IF(A74="","",A74-WEEKDAY(A74,2)+1)</f>
        <v/>
      </c>
      <c r="K74" s="3">
        <f>IF(A74="","",SUMIFS($G:$G,$J:$J,J74))</f>
        <v/>
      </c>
      <c r="L74" s="3">
        <f>IF(A74="","",COUNTIFS($J:$J,J74,$G:$G,"&gt;0"))</f>
        <v/>
      </c>
      <c r="M74" s="3">
        <f>IF(A74="","",IF(K74&gt;=15,"Y","N"))</f>
        <v/>
      </c>
      <c r="N74" s="3">
        <f>IF(A74="","",IF(M74="Y",K74/"입력"!B9,0))</f>
        <v/>
      </c>
      <c r="O74" s="3">
        <f>IF(A74="","",IF(A74=J74,N74*H74,0))</f>
        <v/>
      </c>
      <c r="P74" s="3" t="inlineStr"/>
    </row>
    <row r="75">
      <c r="A75" s="7">
        <f>IF(ROW()-1&lt;=("입력"!B5-"입력"!B4+1),"입력"!B4+ROW()-2,"")</f>
        <v/>
      </c>
      <c r="B75" s="3">
        <f>IF(A75="","",TEXT(A75,"aaa"))</f>
        <v/>
      </c>
      <c r="C75" s="3">
        <f>IF(A75="","",IF(NETWORKDAYS.INTL(A75,A75,"입력"!B11,"공휴일"!A:A)=1,"평일","휴일"))</f>
        <v/>
      </c>
      <c r="D75" s="3" t="n">
        <v>0</v>
      </c>
      <c r="E75" s="3" t="n">
        <v>0</v>
      </c>
      <c r="F75" s="3">
        <f>IF("입력"!B7="Y",E75,0)</f>
        <v/>
      </c>
      <c r="G75" s="3">
        <f>D75+F75</f>
        <v/>
      </c>
      <c r="H75" s="3">
        <f>"입력"!B6</f>
        <v/>
      </c>
      <c r="I75" s="3">
        <f>G75*H75</f>
        <v/>
      </c>
      <c r="J75" s="7">
        <f>IF(A75="","",A75-WEEKDAY(A75,2)+1)</f>
        <v/>
      </c>
      <c r="K75" s="3">
        <f>IF(A75="","",SUMIFS($G:$G,$J:$J,J75))</f>
        <v/>
      </c>
      <c r="L75" s="3">
        <f>IF(A75="","",COUNTIFS($J:$J,J75,$G:$G,"&gt;0"))</f>
        <v/>
      </c>
      <c r="M75" s="3">
        <f>IF(A75="","",IF(K75&gt;=15,"Y","N"))</f>
        <v/>
      </c>
      <c r="N75" s="3">
        <f>IF(A75="","",IF(M75="Y",K75/"입력"!B9,0))</f>
        <v/>
      </c>
      <c r="O75" s="3">
        <f>IF(A75="","",IF(A75=J75,N75*H75,0))</f>
        <v/>
      </c>
      <c r="P75" s="3" t="inlineStr"/>
    </row>
    <row r="76">
      <c r="A76" s="7">
        <f>IF(ROW()-1&lt;=("입력"!B5-"입력"!B4+1),"입력"!B4+ROW()-2,"")</f>
        <v/>
      </c>
      <c r="B76" s="3">
        <f>IF(A76="","",TEXT(A76,"aaa"))</f>
        <v/>
      </c>
      <c r="C76" s="3">
        <f>IF(A76="","",IF(NETWORKDAYS.INTL(A76,A76,"입력"!B11,"공휴일"!A:A)=1,"평일","휴일"))</f>
        <v/>
      </c>
      <c r="D76" s="3" t="n">
        <v>0</v>
      </c>
      <c r="E76" s="3" t="n">
        <v>0</v>
      </c>
      <c r="F76" s="3">
        <f>IF("입력"!B7="Y",E76,0)</f>
        <v/>
      </c>
      <c r="G76" s="3">
        <f>D76+F76</f>
        <v/>
      </c>
      <c r="H76" s="3">
        <f>"입력"!B6</f>
        <v/>
      </c>
      <c r="I76" s="3">
        <f>G76*H76</f>
        <v/>
      </c>
      <c r="J76" s="7">
        <f>IF(A76="","",A76-WEEKDAY(A76,2)+1)</f>
        <v/>
      </c>
      <c r="K76" s="3">
        <f>IF(A76="","",SUMIFS($G:$G,$J:$J,J76))</f>
        <v/>
      </c>
      <c r="L76" s="3">
        <f>IF(A76="","",COUNTIFS($J:$J,J76,$G:$G,"&gt;0"))</f>
        <v/>
      </c>
      <c r="M76" s="3">
        <f>IF(A76="","",IF(K76&gt;=15,"Y","N"))</f>
        <v/>
      </c>
      <c r="N76" s="3">
        <f>IF(A76="","",IF(M76="Y",K76/"입력"!B9,0))</f>
        <v/>
      </c>
      <c r="O76" s="3">
        <f>IF(A76="","",IF(A76=J76,N76*H76,0))</f>
        <v/>
      </c>
      <c r="P76" s="3" t="inlineStr"/>
    </row>
    <row r="77">
      <c r="A77" s="7">
        <f>IF(ROW()-1&lt;=("입력"!B5-"입력"!B4+1),"입력"!B4+ROW()-2,"")</f>
        <v/>
      </c>
      <c r="B77" s="3">
        <f>IF(A77="","",TEXT(A77,"aaa"))</f>
        <v/>
      </c>
      <c r="C77" s="3">
        <f>IF(A77="","",IF(NETWORKDAYS.INTL(A77,A77,"입력"!B11,"공휴일"!A:A)=1,"평일","휴일"))</f>
        <v/>
      </c>
      <c r="D77" s="3" t="n">
        <v>0</v>
      </c>
      <c r="E77" s="3" t="n">
        <v>0</v>
      </c>
      <c r="F77" s="3">
        <f>IF("입력"!B7="Y",E77,0)</f>
        <v/>
      </c>
      <c r="G77" s="3">
        <f>D77+F77</f>
        <v/>
      </c>
      <c r="H77" s="3">
        <f>"입력"!B6</f>
        <v/>
      </c>
      <c r="I77" s="3">
        <f>G77*H77</f>
        <v/>
      </c>
      <c r="J77" s="7">
        <f>IF(A77="","",A77-WEEKDAY(A77,2)+1)</f>
        <v/>
      </c>
      <c r="K77" s="3">
        <f>IF(A77="","",SUMIFS($G:$G,$J:$J,J77))</f>
        <v/>
      </c>
      <c r="L77" s="3">
        <f>IF(A77="","",COUNTIFS($J:$J,J77,$G:$G,"&gt;0"))</f>
        <v/>
      </c>
      <c r="M77" s="3">
        <f>IF(A77="","",IF(K77&gt;=15,"Y","N"))</f>
        <v/>
      </c>
      <c r="N77" s="3">
        <f>IF(A77="","",IF(M77="Y",K77/"입력"!B9,0))</f>
        <v/>
      </c>
      <c r="O77" s="3">
        <f>IF(A77="","",IF(A77=J77,N77*H77,0))</f>
        <v/>
      </c>
      <c r="P77" s="3" t="inlineStr"/>
    </row>
    <row r="78">
      <c r="A78" s="7">
        <f>IF(ROW()-1&lt;=("입력"!B5-"입력"!B4+1),"입력"!B4+ROW()-2,"")</f>
        <v/>
      </c>
      <c r="B78" s="3">
        <f>IF(A78="","",TEXT(A78,"aaa"))</f>
        <v/>
      </c>
      <c r="C78" s="3">
        <f>IF(A78="","",IF(NETWORKDAYS.INTL(A78,A78,"입력"!B11,"공휴일"!A:A)=1,"평일","휴일"))</f>
        <v/>
      </c>
      <c r="D78" s="3" t="n">
        <v>0</v>
      </c>
      <c r="E78" s="3" t="n">
        <v>0</v>
      </c>
      <c r="F78" s="3">
        <f>IF("입력"!B7="Y",E78,0)</f>
        <v/>
      </c>
      <c r="G78" s="3">
        <f>D78+F78</f>
        <v/>
      </c>
      <c r="H78" s="3">
        <f>"입력"!B6</f>
        <v/>
      </c>
      <c r="I78" s="3">
        <f>G78*H78</f>
        <v/>
      </c>
      <c r="J78" s="7">
        <f>IF(A78="","",A78-WEEKDAY(A78,2)+1)</f>
        <v/>
      </c>
      <c r="K78" s="3">
        <f>IF(A78="","",SUMIFS($G:$G,$J:$J,J78))</f>
        <v/>
      </c>
      <c r="L78" s="3">
        <f>IF(A78="","",COUNTIFS($J:$J,J78,$G:$G,"&gt;0"))</f>
        <v/>
      </c>
      <c r="M78" s="3">
        <f>IF(A78="","",IF(K78&gt;=15,"Y","N"))</f>
        <v/>
      </c>
      <c r="N78" s="3">
        <f>IF(A78="","",IF(M78="Y",K78/"입력"!B9,0))</f>
        <v/>
      </c>
      <c r="O78" s="3">
        <f>IF(A78="","",IF(A78=J78,N78*H78,0))</f>
        <v/>
      </c>
      <c r="P78" s="3" t="inlineStr"/>
    </row>
    <row r="79">
      <c r="A79" s="7">
        <f>IF(ROW()-1&lt;=("입력"!B5-"입력"!B4+1),"입력"!B4+ROW()-2,"")</f>
        <v/>
      </c>
      <c r="B79" s="3">
        <f>IF(A79="","",TEXT(A79,"aaa"))</f>
        <v/>
      </c>
      <c r="C79" s="3">
        <f>IF(A79="","",IF(NETWORKDAYS.INTL(A79,A79,"입력"!B11,"공휴일"!A:A)=1,"평일","휴일"))</f>
        <v/>
      </c>
      <c r="D79" s="3" t="n">
        <v>0</v>
      </c>
      <c r="E79" s="3" t="n">
        <v>0</v>
      </c>
      <c r="F79" s="3">
        <f>IF("입력"!B7="Y",E79,0)</f>
        <v/>
      </c>
      <c r="G79" s="3">
        <f>D79+F79</f>
        <v/>
      </c>
      <c r="H79" s="3">
        <f>"입력"!B6</f>
        <v/>
      </c>
      <c r="I79" s="3">
        <f>G79*H79</f>
        <v/>
      </c>
      <c r="J79" s="7">
        <f>IF(A79="","",A79-WEEKDAY(A79,2)+1)</f>
        <v/>
      </c>
      <c r="K79" s="3">
        <f>IF(A79="","",SUMIFS($G:$G,$J:$J,J79))</f>
        <v/>
      </c>
      <c r="L79" s="3">
        <f>IF(A79="","",COUNTIFS($J:$J,J79,$G:$G,"&gt;0"))</f>
        <v/>
      </c>
      <c r="M79" s="3">
        <f>IF(A79="","",IF(K79&gt;=15,"Y","N"))</f>
        <v/>
      </c>
      <c r="N79" s="3">
        <f>IF(A79="","",IF(M79="Y",K79/"입력"!B9,0))</f>
        <v/>
      </c>
      <c r="O79" s="3">
        <f>IF(A79="","",IF(A79=J79,N79*H79,0))</f>
        <v/>
      </c>
      <c r="P79" s="3" t="inlineStr"/>
    </row>
    <row r="80">
      <c r="A80" s="7">
        <f>IF(ROW()-1&lt;=("입력"!B5-"입력"!B4+1),"입력"!B4+ROW()-2,"")</f>
        <v/>
      </c>
      <c r="B80" s="3">
        <f>IF(A80="","",TEXT(A80,"aaa"))</f>
        <v/>
      </c>
      <c r="C80" s="3">
        <f>IF(A80="","",IF(NETWORKDAYS.INTL(A80,A80,"입력"!B11,"공휴일"!A:A)=1,"평일","휴일"))</f>
        <v/>
      </c>
      <c r="D80" s="3" t="n">
        <v>0</v>
      </c>
      <c r="E80" s="3" t="n">
        <v>0</v>
      </c>
      <c r="F80" s="3">
        <f>IF("입력"!B7="Y",E80,0)</f>
        <v/>
      </c>
      <c r="G80" s="3">
        <f>D80+F80</f>
        <v/>
      </c>
      <c r="H80" s="3">
        <f>"입력"!B6</f>
        <v/>
      </c>
      <c r="I80" s="3">
        <f>G80*H80</f>
        <v/>
      </c>
      <c r="J80" s="7">
        <f>IF(A80="","",A80-WEEKDAY(A80,2)+1)</f>
        <v/>
      </c>
      <c r="K80" s="3">
        <f>IF(A80="","",SUMIFS($G:$G,$J:$J,J80))</f>
        <v/>
      </c>
      <c r="L80" s="3">
        <f>IF(A80="","",COUNTIFS($J:$J,J80,$G:$G,"&gt;0"))</f>
        <v/>
      </c>
      <c r="M80" s="3">
        <f>IF(A80="","",IF(K80&gt;=15,"Y","N"))</f>
        <v/>
      </c>
      <c r="N80" s="3">
        <f>IF(A80="","",IF(M80="Y",K80/"입력"!B9,0))</f>
        <v/>
      </c>
      <c r="O80" s="3">
        <f>IF(A80="","",IF(A80=J80,N80*H80,0))</f>
        <v/>
      </c>
      <c r="P80" s="3" t="inlineStr"/>
    </row>
    <row r="81">
      <c r="A81" s="7">
        <f>IF(ROW()-1&lt;=("입력"!B5-"입력"!B4+1),"입력"!B4+ROW()-2,"")</f>
        <v/>
      </c>
      <c r="B81" s="3">
        <f>IF(A81="","",TEXT(A81,"aaa"))</f>
        <v/>
      </c>
      <c r="C81" s="3">
        <f>IF(A81="","",IF(NETWORKDAYS.INTL(A81,A81,"입력"!B11,"공휴일"!A:A)=1,"평일","휴일"))</f>
        <v/>
      </c>
      <c r="D81" s="3" t="n">
        <v>0</v>
      </c>
      <c r="E81" s="3" t="n">
        <v>0</v>
      </c>
      <c r="F81" s="3">
        <f>IF("입력"!B7="Y",E81,0)</f>
        <v/>
      </c>
      <c r="G81" s="3">
        <f>D81+F81</f>
        <v/>
      </c>
      <c r="H81" s="3">
        <f>"입력"!B6</f>
        <v/>
      </c>
      <c r="I81" s="3">
        <f>G81*H81</f>
        <v/>
      </c>
      <c r="J81" s="7">
        <f>IF(A81="","",A81-WEEKDAY(A81,2)+1)</f>
        <v/>
      </c>
      <c r="K81" s="3">
        <f>IF(A81="","",SUMIFS($G:$G,$J:$J,J81))</f>
        <v/>
      </c>
      <c r="L81" s="3">
        <f>IF(A81="","",COUNTIFS($J:$J,J81,$G:$G,"&gt;0"))</f>
        <v/>
      </c>
      <c r="M81" s="3">
        <f>IF(A81="","",IF(K81&gt;=15,"Y","N"))</f>
        <v/>
      </c>
      <c r="N81" s="3">
        <f>IF(A81="","",IF(M81="Y",K81/"입력"!B9,0))</f>
        <v/>
      </c>
      <c r="O81" s="3">
        <f>IF(A81="","",IF(A81=J81,N81*H81,0))</f>
        <v/>
      </c>
      <c r="P81" s="3" t="inlineStr"/>
    </row>
    <row r="82">
      <c r="A82" s="7">
        <f>IF(ROW()-1&lt;=("입력"!B5-"입력"!B4+1),"입력"!B4+ROW()-2,"")</f>
        <v/>
      </c>
      <c r="B82" s="3">
        <f>IF(A82="","",TEXT(A82,"aaa"))</f>
        <v/>
      </c>
      <c r="C82" s="3">
        <f>IF(A82="","",IF(NETWORKDAYS.INTL(A82,A82,"입력"!B11,"공휴일"!A:A)=1,"평일","휴일"))</f>
        <v/>
      </c>
      <c r="D82" s="3" t="n">
        <v>0</v>
      </c>
      <c r="E82" s="3" t="n">
        <v>0</v>
      </c>
      <c r="F82" s="3">
        <f>IF("입력"!B7="Y",E82,0)</f>
        <v/>
      </c>
      <c r="G82" s="3">
        <f>D82+F82</f>
        <v/>
      </c>
      <c r="H82" s="3">
        <f>"입력"!B6</f>
        <v/>
      </c>
      <c r="I82" s="3">
        <f>G82*H82</f>
        <v/>
      </c>
      <c r="J82" s="7">
        <f>IF(A82="","",A82-WEEKDAY(A82,2)+1)</f>
        <v/>
      </c>
      <c r="K82" s="3">
        <f>IF(A82="","",SUMIFS($G:$G,$J:$J,J82))</f>
        <v/>
      </c>
      <c r="L82" s="3">
        <f>IF(A82="","",COUNTIFS($J:$J,J82,$G:$G,"&gt;0"))</f>
        <v/>
      </c>
      <c r="M82" s="3">
        <f>IF(A82="","",IF(K82&gt;=15,"Y","N"))</f>
        <v/>
      </c>
      <c r="N82" s="3">
        <f>IF(A82="","",IF(M82="Y",K82/"입력"!B9,0))</f>
        <v/>
      </c>
      <c r="O82" s="3">
        <f>IF(A82="","",IF(A82=J82,N82*H82,0))</f>
        <v/>
      </c>
      <c r="P82" s="3" t="inlineStr"/>
    </row>
    <row r="83">
      <c r="A83" s="7">
        <f>IF(ROW()-1&lt;=("입력"!B5-"입력"!B4+1),"입력"!B4+ROW()-2,"")</f>
        <v/>
      </c>
      <c r="B83" s="3">
        <f>IF(A83="","",TEXT(A83,"aaa"))</f>
        <v/>
      </c>
      <c r="C83" s="3">
        <f>IF(A83="","",IF(NETWORKDAYS.INTL(A83,A83,"입력"!B11,"공휴일"!A:A)=1,"평일","휴일"))</f>
        <v/>
      </c>
      <c r="D83" s="3" t="n">
        <v>0</v>
      </c>
      <c r="E83" s="3" t="n">
        <v>0</v>
      </c>
      <c r="F83" s="3">
        <f>IF("입력"!B7="Y",E83,0)</f>
        <v/>
      </c>
      <c r="G83" s="3">
        <f>D83+F83</f>
        <v/>
      </c>
      <c r="H83" s="3">
        <f>"입력"!B6</f>
        <v/>
      </c>
      <c r="I83" s="3">
        <f>G83*H83</f>
        <v/>
      </c>
      <c r="J83" s="7">
        <f>IF(A83="","",A83-WEEKDAY(A83,2)+1)</f>
        <v/>
      </c>
      <c r="K83" s="3">
        <f>IF(A83="","",SUMIFS($G:$G,$J:$J,J83))</f>
        <v/>
      </c>
      <c r="L83" s="3">
        <f>IF(A83="","",COUNTIFS($J:$J,J83,$G:$G,"&gt;0"))</f>
        <v/>
      </c>
      <c r="M83" s="3">
        <f>IF(A83="","",IF(K83&gt;=15,"Y","N"))</f>
        <v/>
      </c>
      <c r="N83" s="3">
        <f>IF(A83="","",IF(M83="Y",K83/"입력"!B9,0))</f>
        <v/>
      </c>
      <c r="O83" s="3">
        <f>IF(A83="","",IF(A83=J83,N83*H83,0))</f>
        <v/>
      </c>
      <c r="P83" s="3" t="inlineStr"/>
    </row>
    <row r="84">
      <c r="A84" s="7">
        <f>IF(ROW()-1&lt;=("입력"!B5-"입력"!B4+1),"입력"!B4+ROW()-2,"")</f>
        <v/>
      </c>
      <c r="B84" s="3">
        <f>IF(A84="","",TEXT(A84,"aaa"))</f>
        <v/>
      </c>
      <c r="C84" s="3">
        <f>IF(A84="","",IF(NETWORKDAYS.INTL(A84,A84,"입력"!B11,"공휴일"!A:A)=1,"평일","휴일"))</f>
        <v/>
      </c>
      <c r="D84" s="3" t="n">
        <v>0</v>
      </c>
      <c r="E84" s="3" t="n">
        <v>0</v>
      </c>
      <c r="F84" s="3">
        <f>IF("입력"!B7="Y",E84,0)</f>
        <v/>
      </c>
      <c r="G84" s="3">
        <f>D84+F84</f>
        <v/>
      </c>
      <c r="H84" s="3">
        <f>"입력"!B6</f>
        <v/>
      </c>
      <c r="I84" s="3">
        <f>G84*H84</f>
        <v/>
      </c>
      <c r="J84" s="7">
        <f>IF(A84="","",A84-WEEKDAY(A84,2)+1)</f>
        <v/>
      </c>
      <c r="K84" s="3">
        <f>IF(A84="","",SUMIFS($G:$G,$J:$J,J84))</f>
        <v/>
      </c>
      <c r="L84" s="3">
        <f>IF(A84="","",COUNTIFS($J:$J,J84,$G:$G,"&gt;0"))</f>
        <v/>
      </c>
      <c r="M84" s="3">
        <f>IF(A84="","",IF(K84&gt;=15,"Y","N"))</f>
        <v/>
      </c>
      <c r="N84" s="3">
        <f>IF(A84="","",IF(M84="Y",K84/"입력"!B9,0))</f>
        <v/>
      </c>
      <c r="O84" s="3">
        <f>IF(A84="","",IF(A84=J84,N84*H84,0))</f>
        <v/>
      </c>
      <c r="P84" s="3" t="inlineStr"/>
    </row>
    <row r="85">
      <c r="A85" s="7">
        <f>IF(ROW()-1&lt;=("입력"!B5-"입력"!B4+1),"입력"!B4+ROW()-2,"")</f>
        <v/>
      </c>
      <c r="B85" s="3">
        <f>IF(A85="","",TEXT(A85,"aaa"))</f>
        <v/>
      </c>
      <c r="C85" s="3">
        <f>IF(A85="","",IF(NETWORKDAYS.INTL(A85,A85,"입력"!B11,"공휴일"!A:A)=1,"평일","휴일"))</f>
        <v/>
      </c>
      <c r="D85" s="3" t="n">
        <v>0</v>
      </c>
      <c r="E85" s="3" t="n">
        <v>0</v>
      </c>
      <c r="F85" s="3">
        <f>IF("입력"!B7="Y",E85,0)</f>
        <v/>
      </c>
      <c r="G85" s="3">
        <f>D85+F85</f>
        <v/>
      </c>
      <c r="H85" s="3">
        <f>"입력"!B6</f>
        <v/>
      </c>
      <c r="I85" s="3">
        <f>G85*H85</f>
        <v/>
      </c>
      <c r="J85" s="7">
        <f>IF(A85="","",A85-WEEKDAY(A85,2)+1)</f>
        <v/>
      </c>
      <c r="K85" s="3">
        <f>IF(A85="","",SUMIFS($G:$G,$J:$J,J85))</f>
        <v/>
      </c>
      <c r="L85" s="3">
        <f>IF(A85="","",COUNTIFS($J:$J,J85,$G:$G,"&gt;0"))</f>
        <v/>
      </c>
      <c r="M85" s="3">
        <f>IF(A85="","",IF(K85&gt;=15,"Y","N"))</f>
        <v/>
      </c>
      <c r="N85" s="3">
        <f>IF(A85="","",IF(M85="Y",K85/"입력"!B9,0))</f>
        <v/>
      </c>
      <c r="O85" s="3">
        <f>IF(A85="","",IF(A85=J85,N85*H85,0))</f>
        <v/>
      </c>
      <c r="P85" s="3" t="inlineStr"/>
    </row>
    <row r="86">
      <c r="A86" s="7">
        <f>IF(ROW()-1&lt;=("입력"!B5-"입력"!B4+1),"입력"!B4+ROW()-2,"")</f>
        <v/>
      </c>
      <c r="B86" s="3">
        <f>IF(A86="","",TEXT(A86,"aaa"))</f>
        <v/>
      </c>
      <c r="C86" s="3">
        <f>IF(A86="","",IF(NETWORKDAYS.INTL(A86,A86,"입력"!B11,"공휴일"!A:A)=1,"평일","휴일"))</f>
        <v/>
      </c>
      <c r="D86" s="3" t="n">
        <v>0</v>
      </c>
      <c r="E86" s="3" t="n">
        <v>0</v>
      </c>
      <c r="F86" s="3">
        <f>IF("입력"!B7="Y",E86,0)</f>
        <v/>
      </c>
      <c r="G86" s="3">
        <f>D86+F86</f>
        <v/>
      </c>
      <c r="H86" s="3">
        <f>"입력"!B6</f>
        <v/>
      </c>
      <c r="I86" s="3">
        <f>G86*H86</f>
        <v/>
      </c>
      <c r="J86" s="7">
        <f>IF(A86="","",A86-WEEKDAY(A86,2)+1)</f>
        <v/>
      </c>
      <c r="K86" s="3">
        <f>IF(A86="","",SUMIFS($G:$G,$J:$J,J86))</f>
        <v/>
      </c>
      <c r="L86" s="3">
        <f>IF(A86="","",COUNTIFS($J:$J,J86,$G:$G,"&gt;0"))</f>
        <v/>
      </c>
      <c r="M86" s="3">
        <f>IF(A86="","",IF(K86&gt;=15,"Y","N"))</f>
        <v/>
      </c>
      <c r="N86" s="3">
        <f>IF(A86="","",IF(M86="Y",K86/"입력"!B9,0))</f>
        <v/>
      </c>
      <c r="O86" s="3">
        <f>IF(A86="","",IF(A86=J86,N86*H86,0))</f>
        <v/>
      </c>
      <c r="P86" s="3" t="inlineStr"/>
    </row>
    <row r="87">
      <c r="A87" s="7">
        <f>IF(ROW()-1&lt;=("입력"!B5-"입력"!B4+1),"입력"!B4+ROW()-2,"")</f>
        <v/>
      </c>
      <c r="B87" s="3">
        <f>IF(A87="","",TEXT(A87,"aaa"))</f>
        <v/>
      </c>
      <c r="C87" s="3">
        <f>IF(A87="","",IF(NETWORKDAYS.INTL(A87,A87,"입력"!B11,"공휴일"!A:A)=1,"평일","휴일"))</f>
        <v/>
      </c>
      <c r="D87" s="3" t="n">
        <v>0</v>
      </c>
      <c r="E87" s="3" t="n">
        <v>0</v>
      </c>
      <c r="F87" s="3">
        <f>IF("입력"!B7="Y",E87,0)</f>
        <v/>
      </c>
      <c r="G87" s="3">
        <f>D87+F87</f>
        <v/>
      </c>
      <c r="H87" s="3">
        <f>"입력"!B6</f>
        <v/>
      </c>
      <c r="I87" s="3">
        <f>G87*H87</f>
        <v/>
      </c>
      <c r="J87" s="7">
        <f>IF(A87="","",A87-WEEKDAY(A87,2)+1)</f>
        <v/>
      </c>
      <c r="K87" s="3">
        <f>IF(A87="","",SUMIFS($G:$G,$J:$J,J87))</f>
        <v/>
      </c>
      <c r="L87" s="3">
        <f>IF(A87="","",COUNTIFS($J:$J,J87,$G:$G,"&gt;0"))</f>
        <v/>
      </c>
      <c r="M87" s="3">
        <f>IF(A87="","",IF(K87&gt;=15,"Y","N"))</f>
        <v/>
      </c>
      <c r="N87" s="3">
        <f>IF(A87="","",IF(M87="Y",K87/"입력"!B9,0))</f>
        <v/>
      </c>
      <c r="O87" s="3">
        <f>IF(A87="","",IF(A87=J87,N87*H87,0))</f>
        <v/>
      </c>
      <c r="P87" s="3" t="inlineStr"/>
    </row>
    <row r="88">
      <c r="A88" s="7">
        <f>IF(ROW()-1&lt;=("입력"!B5-"입력"!B4+1),"입력"!B4+ROW()-2,"")</f>
        <v/>
      </c>
      <c r="B88" s="3">
        <f>IF(A88="","",TEXT(A88,"aaa"))</f>
        <v/>
      </c>
      <c r="C88" s="3">
        <f>IF(A88="","",IF(NETWORKDAYS.INTL(A88,A88,"입력"!B11,"공휴일"!A:A)=1,"평일","휴일"))</f>
        <v/>
      </c>
      <c r="D88" s="3" t="n">
        <v>0</v>
      </c>
      <c r="E88" s="3" t="n">
        <v>0</v>
      </c>
      <c r="F88" s="3">
        <f>IF("입력"!B7="Y",E88,0)</f>
        <v/>
      </c>
      <c r="G88" s="3">
        <f>D88+F88</f>
        <v/>
      </c>
      <c r="H88" s="3">
        <f>"입력"!B6</f>
        <v/>
      </c>
      <c r="I88" s="3">
        <f>G88*H88</f>
        <v/>
      </c>
      <c r="J88" s="7">
        <f>IF(A88="","",A88-WEEKDAY(A88,2)+1)</f>
        <v/>
      </c>
      <c r="K88" s="3">
        <f>IF(A88="","",SUMIFS($G:$G,$J:$J,J88))</f>
        <v/>
      </c>
      <c r="L88" s="3">
        <f>IF(A88="","",COUNTIFS($J:$J,J88,$G:$G,"&gt;0"))</f>
        <v/>
      </c>
      <c r="M88" s="3">
        <f>IF(A88="","",IF(K88&gt;=15,"Y","N"))</f>
        <v/>
      </c>
      <c r="N88" s="3">
        <f>IF(A88="","",IF(M88="Y",K88/"입력"!B9,0))</f>
        <v/>
      </c>
      <c r="O88" s="3">
        <f>IF(A88="","",IF(A88=J88,N88*H88,0))</f>
        <v/>
      </c>
      <c r="P88" s="3" t="inlineStr"/>
    </row>
    <row r="89">
      <c r="A89" s="7">
        <f>IF(ROW()-1&lt;=("입력"!B5-"입력"!B4+1),"입력"!B4+ROW()-2,"")</f>
        <v/>
      </c>
      <c r="B89" s="3">
        <f>IF(A89="","",TEXT(A89,"aaa"))</f>
        <v/>
      </c>
      <c r="C89" s="3">
        <f>IF(A89="","",IF(NETWORKDAYS.INTL(A89,A89,"입력"!B11,"공휴일"!A:A)=1,"평일","휴일"))</f>
        <v/>
      </c>
      <c r="D89" s="3" t="n">
        <v>0</v>
      </c>
      <c r="E89" s="3" t="n">
        <v>0</v>
      </c>
      <c r="F89" s="3">
        <f>IF("입력"!B7="Y",E89,0)</f>
        <v/>
      </c>
      <c r="G89" s="3">
        <f>D89+F89</f>
        <v/>
      </c>
      <c r="H89" s="3">
        <f>"입력"!B6</f>
        <v/>
      </c>
      <c r="I89" s="3">
        <f>G89*H89</f>
        <v/>
      </c>
      <c r="J89" s="7">
        <f>IF(A89="","",A89-WEEKDAY(A89,2)+1)</f>
        <v/>
      </c>
      <c r="K89" s="3">
        <f>IF(A89="","",SUMIFS($G:$G,$J:$J,J89))</f>
        <v/>
      </c>
      <c r="L89" s="3">
        <f>IF(A89="","",COUNTIFS($J:$J,J89,$G:$G,"&gt;0"))</f>
        <v/>
      </c>
      <c r="M89" s="3">
        <f>IF(A89="","",IF(K89&gt;=15,"Y","N"))</f>
        <v/>
      </c>
      <c r="N89" s="3">
        <f>IF(A89="","",IF(M89="Y",K89/"입력"!B9,0))</f>
        <v/>
      </c>
      <c r="O89" s="3">
        <f>IF(A89="","",IF(A89=J89,N89*H89,0))</f>
        <v/>
      </c>
      <c r="P89" s="3" t="inlineStr"/>
    </row>
    <row r="90">
      <c r="A90" s="7">
        <f>IF(ROW()-1&lt;=("입력"!B5-"입력"!B4+1),"입력"!B4+ROW()-2,"")</f>
        <v/>
      </c>
      <c r="B90" s="3">
        <f>IF(A90="","",TEXT(A90,"aaa"))</f>
        <v/>
      </c>
      <c r="C90" s="3">
        <f>IF(A90="","",IF(NETWORKDAYS.INTL(A90,A90,"입력"!B11,"공휴일"!A:A)=1,"평일","휴일"))</f>
        <v/>
      </c>
      <c r="D90" s="3" t="n">
        <v>0</v>
      </c>
      <c r="E90" s="3" t="n">
        <v>0</v>
      </c>
      <c r="F90" s="3">
        <f>IF("입력"!B7="Y",E90,0)</f>
        <v/>
      </c>
      <c r="G90" s="3">
        <f>D90+F90</f>
        <v/>
      </c>
      <c r="H90" s="3">
        <f>"입력"!B6</f>
        <v/>
      </c>
      <c r="I90" s="3">
        <f>G90*H90</f>
        <v/>
      </c>
      <c r="J90" s="7">
        <f>IF(A90="","",A90-WEEKDAY(A90,2)+1)</f>
        <v/>
      </c>
      <c r="K90" s="3">
        <f>IF(A90="","",SUMIFS($G:$G,$J:$J,J90))</f>
        <v/>
      </c>
      <c r="L90" s="3">
        <f>IF(A90="","",COUNTIFS($J:$J,J90,$G:$G,"&gt;0"))</f>
        <v/>
      </c>
      <c r="M90" s="3">
        <f>IF(A90="","",IF(K90&gt;=15,"Y","N"))</f>
        <v/>
      </c>
      <c r="N90" s="3">
        <f>IF(A90="","",IF(M90="Y",K90/"입력"!B9,0))</f>
        <v/>
      </c>
      <c r="O90" s="3">
        <f>IF(A90="","",IF(A90=J90,N90*H90,0))</f>
        <v/>
      </c>
      <c r="P90" s="3" t="inlineStr"/>
    </row>
    <row r="91">
      <c r="A91" s="7">
        <f>IF(ROW()-1&lt;=("입력"!B5-"입력"!B4+1),"입력"!B4+ROW()-2,"")</f>
        <v/>
      </c>
      <c r="B91" s="3">
        <f>IF(A91="","",TEXT(A91,"aaa"))</f>
        <v/>
      </c>
      <c r="C91" s="3">
        <f>IF(A91="","",IF(NETWORKDAYS.INTL(A91,A91,"입력"!B11,"공휴일"!A:A)=1,"평일","휴일"))</f>
        <v/>
      </c>
      <c r="D91" s="3" t="n">
        <v>0</v>
      </c>
      <c r="E91" s="3" t="n">
        <v>0</v>
      </c>
      <c r="F91" s="3">
        <f>IF("입력"!B7="Y",E91,0)</f>
        <v/>
      </c>
      <c r="G91" s="3">
        <f>D91+F91</f>
        <v/>
      </c>
      <c r="H91" s="3">
        <f>"입력"!B6</f>
        <v/>
      </c>
      <c r="I91" s="3">
        <f>G91*H91</f>
        <v/>
      </c>
      <c r="J91" s="7">
        <f>IF(A91="","",A91-WEEKDAY(A91,2)+1)</f>
        <v/>
      </c>
      <c r="K91" s="3">
        <f>IF(A91="","",SUMIFS($G:$G,$J:$J,J91))</f>
        <v/>
      </c>
      <c r="L91" s="3">
        <f>IF(A91="","",COUNTIFS($J:$J,J91,$G:$G,"&gt;0"))</f>
        <v/>
      </c>
      <c r="M91" s="3">
        <f>IF(A91="","",IF(K91&gt;=15,"Y","N"))</f>
        <v/>
      </c>
      <c r="N91" s="3">
        <f>IF(A91="","",IF(M91="Y",K91/"입력"!B9,0))</f>
        <v/>
      </c>
      <c r="O91" s="3">
        <f>IF(A91="","",IF(A91=J91,N91*H91,0))</f>
        <v/>
      </c>
      <c r="P91" s="3" t="inlineStr"/>
    </row>
    <row r="92">
      <c r="A92" s="7">
        <f>IF(ROW()-1&lt;=("입력"!B5-"입력"!B4+1),"입력"!B4+ROW()-2,"")</f>
        <v/>
      </c>
      <c r="B92" s="3">
        <f>IF(A92="","",TEXT(A92,"aaa"))</f>
        <v/>
      </c>
      <c r="C92" s="3">
        <f>IF(A92="","",IF(NETWORKDAYS.INTL(A92,A92,"입력"!B11,"공휴일"!A:A)=1,"평일","휴일"))</f>
        <v/>
      </c>
      <c r="D92" s="3" t="n">
        <v>0</v>
      </c>
      <c r="E92" s="3" t="n">
        <v>0</v>
      </c>
      <c r="F92" s="3">
        <f>IF("입력"!B7="Y",E92,0)</f>
        <v/>
      </c>
      <c r="G92" s="3">
        <f>D92+F92</f>
        <v/>
      </c>
      <c r="H92" s="3">
        <f>"입력"!B6</f>
        <v/>
      </c>
      <c r="I92" s="3">
        <f>G92*H92</f>
        <v/>
      </c>
      <c r="J92" s="7">
        <f>IF(A92="","",A92-WEEKDAY(A92,2)+1)</f>
        <v/>
      </c>
      <c r="K92" s="3">
        <f>IF(A92="","",SUMIFS($G:$G,$J:$J,J92))</f>
        <v/>
      </c>
      <c r="L92" s="3">
        <f>IF(A92="","",COUNTIFS($J:$J,J92,$G:$G,"&gt;0"))</f>
        <v/>
      </c>
      <c r="M92" s="3">
        <f>IF(A92="","",IF(K92&gt;=15,"Y","N"))</f>
        <v/>
      </c>
      <c r="N92" s="3">
        <f>IF(A92="","",IF(M92="Y",K92/"입력"!B9,0))</f>
        <v/>
      </c>
      <c r="O92" s="3">
        <f>IF(A92="","",IF(A92=J92,N92*H92,0))</f>
        <v/>
      </c>
      <c r="P92" s="3" t="inlineStr"/>
    </row>
    <row r="93">
      <c r="A93" s="7">
        <f>IF(ROW()-1&lt;=("입력"!B5-"입력"!B4+1),"입력"!B4+ROW()-2,"")</f>
        <v/>
      </c>
      <c r="B93" s="3">
        <f>IF(A93="","",TEXT(A93,"aaa"))</f>
        <v/>
      </c>
      <c r="C93" s="3">
        <f>IF(A93="","",IF(NETWORKDAYS.INTL(A93,A93,"입력"!B11,"공휴일"!A:A)=1,"평일","휴일"))</f>
        <v/>
      </c>
      <c r="D93" s="3" t="n">
        <v>0</v>
      </c>
      <c r="E93" s="3" t="n">
        <v>0</v>
      </c>
      <c r="F93" s="3">
        <f>IF("입력"!B7="Y",E93,0)</f>
        <v/>
      </c>
      <c r="G93" s="3">
        <f>D93+F93</f>
        <v/>
      </c>
      <c r="H93" s="3">
        <f>"입력"!B6</f>
        <v/>
      </c>
      <c r="I93" s="3">
        <f>G93*H93</f>
        <v/>
      </c>
      <c r="J93" s="7">
        <f>IF(A93="","",A93-WEEKDAY(A93,2)+1)</f>
        <v/>
      </c>
      <c r="K93" s="3">
        <f>IF(A93="","",SUMIFS($G:$G,$J:$J,J93))</f>
        <v/>
      </c>
      <c r="L93" s="3">
        <f>IF(A93="","",COUNTIFS($J:$J,J93,$G:$G,"&gt;0"))</f>
        <v/>
      </c>
      <c r="M93" s="3">
        <f>IF(A93="","",IF(K93&gt;=15,"Y","N"))</f>
        <v/>
      </c>
      <c r="N93" s="3">
        <f>IF(A93="","",IF(M93="Y",K93/"입력"!B9,0))</f>
        <v/>
      </c>
      <c r="O93" s="3">
        <f>IF(A93="","",IF(A93=J93,N93*H93,0))</f>
        <v/>
      </c>
      <c r="P93" s="3" t="inlineStr"/>
    </row>
    <row r="94">
      <c r="A94" s="7">
        <f>IF(ROW()-1&lt;=("입력"!B5-"입력"!B4+1),"입력"!B4+ROW()-2,"")</f>
        <v/>
      </c>
      <c r="B94" s="3">
        <f>IF(A94="","",TEXT(A94,"aaa"))</f>
        <v/>
      </c>
      <c r="C94" s="3">
        <f>IF(A94="","",IF(NETWORKDAYS.INTL(A94,A94,"입력"!B11,"공휴일"!A:A)=1,"평일","휴일"))</f>
        <v/>
      </c>
      <c r="D94" s="3" t="n">
        <v>0</v>
      </c>
      <c r="E94" s="3" t="n">
        <v>0</v>
      </c>
      <c r="F94" s="3">
        <f>IF("입력"!B7="Y",E94,0)</f>
        <v/>
      </c>
      <c r="G94" s="3">
        <f>D94+F94</f>
        <v/>
      </c>
      <c r="H94" s="3">
        <f>"입력"!B6</f>
        <v/>
      </c>
      <c r="I94" s="3">
        <f>G94*H94</f>
        <v/>
      </c>
      <c r="J94" s="7">
        <f>IF(A94="","",A94-WEEKDAY(A94,2)+1)</f>
        <v/>
      </c>
      <c r="K94" s="3">
        <f>IF(A94="","",SUMIFS($G:$G,$J:$J,J94))</f>
        <v/>
      </c>
      <c r="L94" s="3">
        <f>IF(A94="","",COUNTIFS($J:$J,J94,$G:$G,"&gt;0"))</f>
        <v/>
      </c>
      <c r="M94" s="3">
        <f>IF(A94="","",IF(K94&gt;=15,"Y","N"))</f>
        <v/>
      </c>
      <c r="N94" s="3">
        <f>IF(A94="","",IF(M94="Y",K94/"입력"!B9,0))</f>
        <v/>
      </c>
      <c r="O94" s="3">
        <f>IF(A94="","",IF(A94=J94,N94*H94,0))</f>
        <v/>
      </c>
      <c r="P94" s="3" t="inlineStr"/>
    </row>
    <row r="95">
      <c r="A95" s="7">
        <f>IF(ROW()-1&lt;=("입력"!B5-"입력"!B4+1),"입력"!B4+ROW()-2,"")</f>
        <v/>
      </c>
      <c r="B95" s="3">
        <f>IF(A95="","",TEXT(A95,"aaa"))</f>
        <v/>
      </c>
      <c r="C95" s="3">
        <f>IF(A95="","",IF(NETWORKDAYS.INTL(A95,A95,"입력"!B11,"공휴일"!A:A)=1,"평일","휴일"))</f>
        <v/>
      </c>
      <c r="D95" s="3" t="n">
        <v>0</v>
      </c>
      <c r="E95" s="3" t="n">
        <v>0</v>
      </c>
      <c r="F95" s="3">
        <f>IF("입력"!B7="Y",E95,0)</f>
        <v/>
      </c>
      <c r="G95" s="3">
        <f>D95+F95</f>
        <v/>
      </c>
      <c r="H95" s="3">
        <f>"입력"!B6</f>
        <v/>
      </c>
      <c r="I95" s="3">
        <f>G95*H95</f>
        <v/>
      </c>
      <c r="J95" s="7">
        <f>IF(A95="","",A95-WEEKDAY(A95,2)+1)</f>
        <v/>
      </c>
      <c r="K95" s="3">
        <f>IF(A95="","",SUMIFS($G:$G,$J:$J,J95))</f>
        <v/>
      </c>
      <c r="L95" s="3">
        <f>IF(A95="","",COUNTIFS($J:$J,J95,$G:$G,"&gt;0"))</f>
        <v/>
      </c>
      <c r="M95" s="3">
        <f>IF(A95="","",IF(K95&gt;=15,"Y","N"))</f>
        <v/>
      </c>
      <c r="N95" s="3">
        <f>IF(A95="","",IF(M95="Y",K95/"입력"!B9,0))</f>
        <v/>
      </c>
      <c r="O95" s="3">
        <f>IF(A95="","",IF(A95=J95,N95*H95,0))</f>
        <v/>
      </c>
      <c r="P95" s="3" t="inlineStr"/>
    </row>
    <row r="96">
      <c r="A96" s="7">
        <f>IF(ROW()-1&lt;=("입력"!B5-"입력"!B4+1),"입력"!B4+ROW()-2,"")</f>
        <v/>
      </c>
      <c r="B96" s="3">
        <f>IF(A96="","",TEXT(A96,"aaa"))</f>
        <v/>
      </c>
      <c r="C96" s="3">
        <f>IF(A96="","",IF(NETWORKDAYS.INTL(A96,A96,"입력"!B11,"공휴일"!A:A)=1,"평일","휴일"))</f>
        <v/>
      </c>
      <c r="D96" s="3" t="n">
        <v>0</v>
      </c>
      <c r="E96" s="3" t="n">
        <v>0</v>
      </c>
      <c r="F96" s="3">
        <f>IF("입력"!B7="Y",E96,0)</f>
        <v/>
      </c>
      <c r="G96" s="3">
        <f>D96+F96</f>
        <v/>
      </c>
      <c r="H96" s="3">
        <f>"입력"!B6</f>
        <v/>
      </c>
      <c r="I96" s="3">
        <f>G96*H96</f>
        <v/>
      </c>
      <c r="J96" s="7">
        <f>IF(A96="","",A96-WEEKDAY(A96,2)+1)</f>
        <v/>
      </c>
      <c r="K96" s="3">
        <f>IF(A96="","",SUMIFS($G:$G,$J:$J,J96))</f>
        <v/>
      </c>
      <c r="L96" s="3">
        <f>IF(A96="","",COUNTIFS($J:$J,J96,$G:$G,"&gt;0"))</f>
        <v/>
      </c>
      <c r="M96" s="3">
        <f>IF(A96="","",IF(K96&gt;=15,"Y","N"))</f>
        <v/>
      </c>
      <c r="N96" s="3">
        <f>IF(A96="","",IF(M96="Y",K96/"입력"!B9,0))</f>
        <v/>
      </c>
      <c r="O96" s="3">
        <f>IF(A96="","",IF(A96=J96,N96*H96,0))</f>
        <v/>
      </c>
      <c r="P96" s="3" t="inlineStr"/>
    </row>
    <row r="97">
      <c r="A97" s="7">
        <f>IF(ROW()-1&lt;=("입력"!B5-"입력"!B4+1),"입력"!B4+ROW()-2,"")</f>
        <v/>
      </c>
      <c r="B97" s="3">
        <f>IF(A97="","",TEXT(A97,"aaa"))</f>
        <v/>
      </c>
      <c r="C97" s="3">
        <f>IF(A97="","",IF(NETWORKDAYS.INTL(A97,A97,"입력"!B11,"공휴일"!A:A)=1,"평일","휴일"))</f>
        <v/>
      </c>
      <c r="D97" s="3" t="n">
        <v>0</v>
      </c>
      <c r="E97" s="3" t="n">
        <v>0</v>
      </c>
      <c r="F97" s="3">
        <f>IF("입력"!B7="Y",E97,0)</f>
        <v/>
      </c>
      <c r="G97" s="3">
        <f>D97+F97</f>
        <v/>
      </c>
      <c r="H97" s="3">
        <f>"입력"!B6</f>
        <v/>
      </c>
      <c r="I97" s="3">
        <f>G97*H97</f>
        <v/>
      </c>
      <c r="J97" s="7">
        <f>IF(A97="","",A97-WEEKDAY(A97,2)+1)</f>
        <v/>
      </c>
      <c r="K97" s="3">
        <f>IF(A97="","",SUMIFS($G:$G,$J:$J,J97))</f>
        <v/>
      </c>
      <c r="L97" s="3">
        <f>IF(A97="","",COUNTIFS($J:$J,J97,$G:$G,"&gt;0"))</f>
        <v/>
      </c>
      <c r="M97" s="3">
        <f>IF(A97="","",IF(K97&gt;=15,"Y","N"))</f>
        <v/>
      </c>
      <c r="N97" s="3">
        <f>IF(A97="","",IF(M97="Y",K97/"입력"!B9,0))</f>
        <v/>
      </c>
      <c r="O97" s="3">
        <f>IF(A97="","",IF(A97=J97,N97*H97,0))</f>
        <v/>
      </c>
      <c r="P97" s="3" t="inlineStr"/>
    </row>
    <row r="98">
      <c r="A98" s="7">
        <f>IF(ROW()-1&lt;=("입력"!B5-"입력"!B4+1),"입력"!B4+ROW()-2,"")</f>
        <v/>
      </c>
      <c r="B98" s="3">
        <f>IF(A98="","",TEXT(A98,"aaa"))</f>
        <v/>
      </c>
      <c r="C98" s="3">
        <f>IF(A98="","",IF(NETWORKDAYS.INTL(A98,A98,"입력"!B11,"공휴일"!A:A)=1,"평일","휴일"))</f>
        <v/>
      </c>
      <c r="D98" s="3" t="n">
        <v>0</v>
      </c>
      <c r="E98" s="3" t="n">
        <v>0</v>
      </c>
      <c r="F98" s="3">
        <f>IF("입력"!B7="Y",E98,0)</f>
        <v/>
      </c>
      <c r="G98" s="3">
        <f>D98+F98</f>
        <v/>
      </c>
      <c r="H98" s="3">
        <f>"입력"!B6</f>
        <v/>
      </c>
      <c r="I98" s="3">
        <f>G98*H98</f>
        <v/>
      </c>
      <c r="J98" s="7">
        <f>IF(A98="","",A98-WEEKDAY(A98,2)+1)</f>
        <v/>
      </c>
      <c r="K98" s="3">
        <f>IF(A98="","",SUMIFS($G:$G,$J:$J,J98))</f>
        <v/>
      </c>
      <c r="L98" s="3">
        <f>IF(A98="","",COUNTIFS($J:$J,J98,$G:$G,"&gt;0"))</f>
        <v/>
      </c>
      <c r="M98" s="3">
        <f>IF(A98="","",IF(K98&gt;=15,"Y","N"))</f>
        <v/>
      </c>
      <c r="N98" s="3">
        <f>IF(A98="","",IF(M98="Y",K98/"입력"!B9,0))</f>
        <v/>
      </c>
      <c r="O98" s="3">
        <f>IF(A98="","",IF(A98=J98,N98*H98,0))</f>
        <v/>
      </c>
      <c r="P98" s="3" t="inlineStr"/>
    </row>
    <row r="99">
      <c r="A99" s="7">
        <f>IF(ROW()-1&lt;=("입력"!B5-"입력"!B4+1),"입력"!B4+ROW()-2,"")</f>
        <v/>
      </c>
      <c r="B99" s="3">
        <f>IF(A99="","",TEXT(A99,"aaa"))</f>
        <v/>
      </c>
      <c r="C99" s="3">
        <f>IF(A99="","",IF(NETWORKDAYS.INTL(A99,A99,"입력"!B11,"공휴일"!A:A)=1,"평일","휴일"))</f>
        <v/>
      </c>
      <c r="D99" s="3" t="n">
        <v>0</v>
      </c>
      <c r="E99" s="3" t="n">
        <v>0</v>
      </c>
      <c r="F99" s="3">
        <f>IF("입력"!B7="Y",E99,0)</f>
        <v/>
      </c>
      <c r="G99" s="3">
        <f>D99+F99</f>
        <v/>
      </c>
      <c r="H99" s="3">
        <f>"입력"!B6</f>
        <v/>
      </c>
      <c r="I99" s="3">
        <f>G99*H99</f>
        <v/>
      </c>
      <c r="J99" s="7">
        <f>IF(A99="","",A99-WEEKDAY(A99,2)+1)</f>
        <v/>
      </c>
      <c r="K99" s="3">
        <f>IF(A99="","",SUMIFS($G:$G,$J:$J,J99))</f>
        <v/>
      </c>
      <c r="L99" s="3">
        <f>IF(A99="","",COUNTIFS($J:$J,J99,$G:$G,"&gt;0"))</f>
        <v/>
      </c>
      <c r="M99" s="3">
        <f>IF(A99="","",IF(K99&gt;=15,"Y","N"))</f>
        <v/>
      </c>
      <c r="N99" s="3">
        <f>IF(A99="","",IF(M99="Y",K99/"입력"!B9,0))</f>
        <v/>
      </c>
      <c r="O99" s="3">
        <f>IF(A99="","",IF(A99=J99,N99*H99,0))</f>
        <v/>
      </c>
      <c r="P99" s="3" t="inlineStr"/>
    </row>
    <row r="100">
      <c r="A100" s="7">
        <f>IF(ROW()-1&lt;=("입력"!B5-"입력"!B4+1),"입력"!B4+ROW()-2,"")</f>
        <v/>
      </c>
      <c r="B100" s="3">
        <f>IF(A100="","",TEXT(A100,"aaa"))</f>
        <v/>
      </c>
      <c r="C100" s="3">
        <f>IF(A100="","",IF(NETWORKDAYS.INTL(A100,A100,"입력"!B11,"공휴일"!A:A)=1,"평일","휴일"))</f>
        <v/>
      </c>
      <c r="D100" s="3" t="n">
        <v>0</v>
      </c>
      <c r="E100" s="3" t="n">
        <v>0</v>
      </c>
      <c r="F100" s="3">
        <f>IF("입력"!B7="Y",E100,0)</f>
        <v/>
      </c>
      <c r="G100" s="3">
        <f>D100+F100</f>
        <v/>
      </c>
      <c r="H100" s="3">
        <f>"입력"!B6</f>
        <v/>
      </c>
      <c r="I100" s="3">
        <f>G100*H100</f>
        <v/>
      </c>
      <c r="J100" s="7">
        <f>IF(A100="","",A100-WEEKDAY(A100,2)+1)</f>
        <v/>
      </c>
      <c r="K100" s="3">
        <f>IF(A100="","",SUMIFS($G:$G,$J:$J,J100))</f>
        <v/>
      </c>
      <c r="L100" s="3">
        <f>IF(A100="","",COUNTIFS($J:$J,J100,$G:$G,"&gt;0"))</f>
        <v/>
      </c>
      <c r="M100" s="3">
        <f>IF(A100="","",IF(K100&gt;=15,"Y","N"))</f>
        <v/>
      </c>
      <c r="N100" s="3">
        <f>IF(A100="","",IF(M100="Y",K100/"입력"!B9,0))</f>
        <v/>
      </c>
      <c r="O100" s="3">
        <f>IF(A100="","",IF(A100=J100,N100*H100,0))</f>
        <v/>
      </c>
      <c r="P100" s="3" t="inlineStr"/>
    </row>
    <row r="101">
      <c r="A101" s="7">
        <f>IF(ROW()-1&lt;=("입력"!B5-"입력"!B4+1),"입력"!B4+ROW()-2,"")</f>
        <v/>
      </c>
      <c r="B101" s="3">
        <f>IF(A101="","",TEXT(A101,"aaa"))</f>
        <v/>
      </c>
      <c r="C101" s="3">
        <f>IF(A101="","",IF(NETWORKDAYS.INTL(A101,A101,"입력"!B11,"공휴일"!A:A)=1,"평일","휴일"))</f>
        <v/>
      </c>
      <c r="D101" s="3" t="n">
        <v>0</v>
      </c>
      <c r="E101" s="3" t="n">
        <v>0</v>
      </c>
      <c r="F101" s="3">
        <f>IF("입력"!B7="Y",E101,0)</f>
        <v/>
      </c>
      <c r="G101" s="3">
        <f>D101+F101</f>
        <v/>
      </c>
      <c r="H101" s="3">
        <f>"입력"!B6</f>
        <v/>
      </c>
      <c r="I101" s="3">
        <f>G101*H101</f>
        <v/>
      </c>
      <c r="J101" s="7">
        <f>IF(A101="","",A101-WEEKDAY(A101,2)+1)</f>
        <v/>
      </c>
      <c r="K101" s="3">
        <f>IF(A101="","",SUMIFS($G:$G,$J:$J,J101))</f>
        <v/>
      </c>
      <c r="L101" s="3">
        <f>IF(A101="","",COUNTIFS($J:$J,J101,$G:$G,"&gt;0"))</f>
        <v/>
      </c>
      <c r="M101" s="3">
        <f>IF(A101="","",IF(K101&gt;=15,"Y","N"))</f>
        <v/>
      </c>
      <c r="N101" s="3">
        <f>IF(A101="","",IF(M101="Y",K101/"입력"!B9,0))</f>
        <v/>
      </c>
      <c r="O101" s="3">
        <f>IF(A101="","",IF(A101=J101,N101*H101,0))</f>
        <v/>
      </c>
      <c r="P101" s="3" t="inlineStr"/>
    </row>
    <row r="102">
      <c r="A102" s="7">
        <f>IF(ROW()-1&lt;=("입력"!B5-"입력"!B4+1),"입력"!B4+ROW()-2,"")</f>
        <v/>
      </c>
      <c r="B102" s="3">
        <f>IF(A102="","",TEXT(A102,"aaa"))</f>
        <v/>
      </c>
      <c r="C102" s="3">
        <f>IF(A102="","",IF(NETWORKDAYS.INTL(A102,A102,"입력"!B11,"공휴일"!A:A)=1,"평일","휴일"))</f>
        <v/>
      </c>
      <c r="D102" s="3" t="n">
        <v>0</v>
      </c>
      <c r="E102" s="3" t="n">
        <v>0</v>
      </c>
      <c r="F102" s="3">
        <f>IF("입력"!B7="Y",E102,0)</f>
        <v/>
      </c>
      <c r="G102" s="3">
        <f>D102+F102</f>
        <v/>
      </c>
      <c r="H102" s="3">
        <f>"입력"!B6</f>
        <v/>
      </c>
      <c r="I102" s="3">
        <f>G102*H102</f>
        <v/>
      </c>
      <c r="J102" s="7">
        <f>IF(A102="","",A102-WEEKDAY(A102,2)+1)</f>
        <v/>
      </c>
      <c r="K102" s="3">
        <f>IF(A102="","",SUMIFS($G:$G,$J:$J,J102))</f>
        <v/>
      </c>
      <c r="L102" s="3">
        <f>IF(A102="","",COUNTIFS($J:$J,J102,$G:$G,"&gt;0"))</f>
        <v/>
      </c>
      <c r="M102" s="3">
        <f>IF(A102="","",IF(K102&gt;=15,"Y","N"))</f>
        <v/>
      </c>
      <c r="N102" s="3">
        <f>IF(A102="","",IF(M102="Y",K102/"입력"!B9,0))</f>
        <v/>
      </c>
      <c r="O102" s="3">
        <f>IF(A102="","",IF(A102=J102,N102*H102,0))</f>
        <v/>
      </c>
      <c r="P102" s="3" t="inlineStr"/>
    </row>
    <row r="103">
      <c r="A103" s="7">
        <f>IF(ROW()-1&lt;=("입력"!B5-"입력"!B4+1),"입력"!B4+ROW()-2,"")</f>
        <v/>
      </c>
      <c r="B103" s="3">
        <f>IF(A103="","",TEXT(A103,"aaa"))</f>
        <v/>
      </c>
      <c r="C103" s="3">
        <f>IF(A103="","",IF(NETWORKDAYS.INTL(A103,A103,"입력"!B11,"공휴일"!A:A)=1,"평일","휴일"))</f>
        <v/>
      </c>
      <c r="D103" s="3" t="n">
        <v>0</v>
      </c>
      <c r="E103" s="3" t="n">
        <v>0</v>
      </c>
      <c r="F103" s="3">
        <f>IF("입력"!B7="Y",E103,0)</f>
        <v/>
      </c>
      <c r="G103" s="3">
        <f>D103+F103</f>
        <v/>
      </c>
      <c r="H103" s="3">
        <f>"입력"!B6</f>
        <v/>
      </c>
      <c r="I103" s="3">
        <f>G103*H103</f>
        <v/>
      </c>
      <c r="J103" s="7">
        <f>IF(A103="","",A103-WEEKDAY(A103,2)+1)</f>
        <v/>
      </c>
      <c r="K103" s="3">
        <f>IF(A103="","",SUMIFS($G:$G,$J:$J,J103))</f>
        <v/>
      </c>
      <c r="L103" s="3">
        <f>IF(A103="","",COUNTIFS($J:$J,J103,$G:$G,"&gt;0"))</f>
        <v/>
      </c>
      <c r="M103" s="3">
        <f>IF(A103="","",IF(K103&gt;=15,"Y","N"))</f>
        <v/>
      </c>
      <c r="N103" s="3">
        <f>IF(A103="","",IF(M103="Y",K103/"입력"!B9,0))</f>
        <v/>
      </c>
      <c r="O103" s="3">
        <f>IF(A103="","",IF(A103=J103,N103*H103,0))</f>
        <v/>
      </c>
      <c r="P103" s="3" t="inlineStr"/>
    </row>
    <row r="104">
      <c r="A104" s="7">
        <f>IF(ROW()-1&lt;=("입력"!B5-"입력"!B4+1),"입력"!B4+ROW()-2,"")</f>
        <v/>
      </c>
      <c r="B104" s="3">
        <f>IF(A104="","",TEXT(A104,"aaa"))</f>
        <v/>
      </c>
      <c r="C104" s="3">
        <f>IF(A104="","",IF(NETWORKDAYS.INTL(A104,A104,"입력"!B11,"공휴일"!A:A)=1,"평일","휴일"))</f>
        <v/>
      </c>
      <c r="D104" s="3" t="n">
        <v>0</v>
      </c>
      <c r="E104" s="3" t="n">
        <v>0</v>
      </c>
      <c r="F104" s="3">
        <f>IF("입력"!B7="Y",E104,0)</f>
        <v/>
      </c>
      <c r="G104" s="3">
        <f>D104+F104</f>
        <v/>
      </c>
      <c r="H104" s="3">
        <f>"입력"!B6</f>
        <v/>
      </c>
      <c r="I104" s="3">
        <f>G104*H104</f>
        <v/>
      </c>
      <c r="J104" s="7">
        <f>IF(A104="","",A104-WEEKDAY(A104,2)+1)</f>
        <v/>
      </c>
      <c r="K104" s="3">
        <f>IF(A104="","",SUMIFS($G:$G,$J:$J,J104))</f>
        <v/>
      </c>
      <c r="L104" s="3">
        <f>IF(A104="","",COUNTIFS($J:$J,J104,$G:$G,"&gt;0"))</f>
        <v/>
      </c>
      <c r="M104" s="3">
        <f>IF(A104="","",IF(K104&gt;=15,"Y","N"))</f>
        <v/>
      </c>
      <c r="N104" s="3">
        <f>IF(A104="","",IF(M104="Y",K104/"입력"!B9,0))</f>
        <v/>
      </c>
      <c r="O104" s="3">
        <f>IF(A104="","",IF(A104=J104,N104*H104,0))</f>
        <v/>
      </c>
      <c r="P104" s="3" t="inlineStr"/>
    </row>
    <row r="105">
      <c r="A105" s="7">
        <f>IF(ROW()-1&lt;=("입력"!B5-"입력"!B4+1),"입력"!B4+ROW()-2,"")</f>
        <v/>
      </c>
      <c r="B105" s="3">
        <f>IF(A105="","",TEXT(A105,"aaa"))</f>
        <v/>
      </c>
      <c r="C105" s="3">
        <f>IF(A105="","",IF(NETWORKDAYS.INTL(A105,A105,"입력"!B11,"공휴일"!A:A)=1,"평일","휴일"))</f>
        <v/>
      </c>
      <c r="D105" s="3" t="n">
        <v>0</v>
      </c>
      <c r="E105" s="3" t="n">
        <v>0</v>
      </c>
      <c r="F105" s="3">
        <f>IF("입력"!B7="Y",E105,0)</f>
        <v/>
      </c>
      <c r="G105" s="3">
        <f>D105+F105</f>
        <v/>
      </c>
      <c r="H105" s="3">
        <f>"입력"!B6</f>
        <v/>
      </c>
      <c r="I105" s="3">
        <f>G105*H105</f>
        <v/>
      </c>
      <c r="J105" s="7">
        <f>IF(A105="","",A105-WEEKDAY(A105,2)+1)</f>
        <v/>
      </c>
      <c r="K105" s="3">
        <f>IF(A105="","",SUMIFS($G:$G,$J:$J,J105))</f>
        <v/>
      </c>
      <c r="L105" s="3">
        <f>IF(A105="","",COUNTIFS($J:$J,J105,$G:$G,"&gt;0"))</f>
        <v/>
      </c>
      <c r="M105" s="3">
        <f>IF(A105="","",IF(K105&gt;=15,"Y","N"))</f>
        <v/>
      </c>
      <c r="N105" s="3">
        <f>IF(A105="","",IF(M105="Y",K105/"입력"!B9,0))</f>
        <v/>
      </c>
      <c r="O105" s="3">
        <f>IF(A105="","",IF(A105=J105,N105*H105,0))</f>
        <v/>
      </c>
      <c r="P105" s="3" t="inlineStr"/>
    </row>
    <row r="106">
      <c r="A106" s="7">
        <f>IF(ROW()-1&lt;=("입력"!B5-"입력"!B4+1),"입력"!B4+ROW()-2,"")</f>
        <v/>
      </c>
      <c r="B106" s="3">
        <f>IF(A106="","",TEXT(A106,"aaa"))</f>
        <v/>
      </c>
      <c r="C106" s="3">
        <f>IF(A106="","",IF(NETWORKDAYS.INTL(A106,A106,"입력"!B11,"공휴일"!A:A)=1,"평일","휴일"))</f>
        <v/>
      </c>
      <c r="D106" s="3" t="n">
        <v>0</v>
      </c>
      <c r="E106" s="3" t="n">
        <v>0</v>
      </c>
      <c r="F106" s="3">
        <f>IF("입력"!B7="Y",E106,0)</f>
        <v/>
      </c>
      <c r="G106" s="3">
        <f>D106+F106</f>
        <v/>
      </c>
      <c r="H106" s="3">
        <f>"입력"!B6</f>
        <v/>
      </c>
      <c r="I106" s="3">
        <f>G106*H106</f>
        <v/>
      </c>
      <c r="J106" s="7">
        <f>IF(A106="","",A106-WEEKDAY(A106,2)+1)</f>
        <v/>
      </c>
      <c r="K106" s="3">
        <f>IF(A106="","",SUMIFS($G:$G,$J:$J,J106))</f>
        <v/>
      </c>
      <c r="L106" s="3">
        <f>IF(A106="","",COUNTIFS($J:$J,J106,$G:$G,"&gt;0"))</f>
        <v/>
      </c>
      <c r="M106" s="3">
        <f>IF(A106="","",IF(K106&gt;=15,"Y","N"))</f>
        <v/>
      </c>
      <c r="N106" s="3">
        <f>IF(A106="","",IF(M106="Y",K106/"입력"!B9,0))</f>
        <v/>
      </c>
      <c r="O106" s="3">
        <f>IF(A106="","",IF(A106=J106,N106*H106,0))</f>
        <v/>
      </c>
      <c r="P106" s="3" t="inlineStr"/>
    </row>
    <row r="107">
      <c r="A107" s="7">
        <f>IF(ROW()-1&lt;=("입력"!B5-"입력"!B4+1),"입력"!B4+ROW()-2,"")</f>
        <v/>
      </c>
      <c r="B107" s="3">
        <f>IF(A107="","",TEXT(A107,"aaa"))</f>
        <v/>
      </c>
      <c r="C107" s="3">
        <f>IF(A107="","",IF(NETWORKDAYS.INTL(A107,A107,"입력"!B11,"공휴일"!A:A)=1,"평일","휴일"))</f>
        <v/>
      </c>
      <c r="D107" s="3" t="n">
        <v>0</v>
      </c>
      <c r="E107" s="3" t="n">
        <v>0</v>
      </c>
      <c r="F107" s="3">
        <f>IF("입력"!B7="Y",E107,0)</f>
        <v/>
      </c>
      <c r="G107" s="3">
        <f>D107+F107</f>
        <v/>
      </c>
      <c r="H107" s="3">
        <f>"입력"!B6</f>
        <v/>
      </c>
      <c r="I107" s="3">
        <f>G107*H107</f>
        <v/>
      </c>
      <c r="J107" s="7">
        <f>IF(A107="","",A107-WEEKDAY(A107,2)+1)</f>
        <v/>
      </c>
      <c r="K107" s="3">
        <f>IF(A107="","",SUMIFS($G:$G,$J:$J,J107))</f>
        <v/>
      </c>
      <c r="L107" s="3">
        <f>IF(A107="","",COUNTIFS($J:$J,J107,$G:$G,"&gt;0"))</f>
        <v/>
      </c>
      <c r="M107" s="3">
        <f>IF(A107="","",IF(K107&gt;=15,"Y","N"))</f>
        <v/>
      </c>
      <c r="N107" s="3">
        <f>IF(A107="","",IF(M107="Y",K107/"입력"!B9,0))</f>
        <v/>
      </c>
      <c r="O107" s="3">
        <f>IF(A107="","",IF(A107=J107,N107*H107,0))</f>
        <v/>
      </c>
      <c r="P107" s="3" t="inlineStr"/>
    </row>
    <row r="108">
      <c r="A108" s="7">
        <f>IF(ROW()-1&lt;=("입력"!B5-"입력"!B4+1),"입력"!B4+ROW()-2,"")</f>
        <v/>
      </c>
      <c r="B108" s="3">
        <f>IF(A108="","",TEXT(A108,"aaa"))</f>
        <v/>
      </c>
      <c r="C108" s="3">
        <f>IF(A108="","",IF(NETWORKDAYS.INTL(A108,A108,"입력"!B11,"공휴일"!A:A)=1,"평일","휴일"))</f>
        <v/>
      </c>
      <c r="D108" s="3" t="n">
        <v>0</v>
      </c>
      <c r="E108" s="3" t="n">
        <v>0</v>
      </c>
      <c r="F108" s="3">
        <f>IF("입력"!B7="Y",E108,0)</f>
        <v/>
      </c>
      <c r="G108" s="3">
        <f>D108+F108</f>
        <v/>
      </c>
      <c r="H108" s="3">
        <f>"입력"!B6</f>
        <v/>
      </c>
      <c r="I108" s="3">
        <f>G108*H108</f>
        <v/>
      </c>
      <c r="J108" s="7">
        <f>IF(A108="","",A108-WEEKDAY(A108,2)+1)</f>
        <v/>
      </c>
      <c r="K108" s="3">
        <f>IF(A108="","",SUMIFS($G:$G,$J:$J,J108))</f>
        <v/>
      </c>
      <c r="L108" s="3">
        <f>IF(A108="","",COUNTIFS($J:$J,J108,$G:$G,"&gt;0"))</f>
        <v/>
      </c>
      <c r="M108" s="3">
        <f>IF(A108="","",IF(K108&gt;=15,"Y","N"))</f>
        <v/>
      </c>
      <c r="N108" s="3">
        <f>IF(A108="","",IF(M108="Y",K108/"입력"!B9,0))</f>
        <v/>
      </c>
      <c r="O108" s="3">
        <f>IF(A108="","",IF(A108=J108,N108*H108,0))</f>
        <v/>
      </c>
      <c r="P108" s="3" t="inlineStr"/>
    </row>
    <row r="109">
      <c r="A109" s="7">
        <f>IF(ROW()-1&lt;=("입력"!B5-"입력"!B4+1),"입력"!B4+ROW()-2,"")</f>
        <v/>
      </c>
      <c r="B109" s="3">
        <f>IF(A109="","",TEXT(A109,"aaa"))</f>
        <v/>
      </c>
      <c r="C109" s="3">
        <f>IF(A109="","",IF(NETWORKDAYS.INTL(A109,A109,"입력"!B11,"공휴일"!A:A)=1,"평일","휴일"))</f>
        <v/>
      </c>
      <c r="D109" s="3" t="n">
        <v>0</v>
      </c>
      <c r="E109" s="3" t="n">
        <v>0</v>
      </c>
      <c r="F109" s="3">
        <f>IF("입력"!B7="Y",E109,0)</f>
        <v/>
      </c>
      <c r="G109" s="3">
        <f>D109+F109</f>
        <v/>
      </c>
      <c r="H109" s="3">
        <f>"입력"!B6</f>
        <v/>
      </c>
      <c r="I109" s="3">
        <f>G109*H109</f>
        <v/>
      </c>
      <c r="J109" s="7">
        <f>IF(A109="","",A109-WEEKDAY(A109,2)+1)</f>
        <v/>
      </c>
      <c r="K109" s="3">
        <f>IF(A109="","",SUMIFS($G:$G,$J:$J,J109))</f>
        <v/>
      </c>
      <c r="L109" s="3">
        <f>IF(A109="","",COUNTIFS($J:$J,J109,$G:$G,"&gt;0"))</f>
        <v/>
      </c>
      <c r="M109" s="3">
        <f>IF(A109="","",IF(K109&gt;=15,"Y","N"))</f>
        <v/>
      </c>
      <c r="N109" s="3">
        <f>IF(A109="","",IF(M109="Y",K109/"입력"!B9,0))</f>
        <v/>
      </c>
      <c r="O109" s="3">
        <f>IF(A109="","",IF(A109=J109,N109*H109,0))</f>
        <v/>
      </c>
      <c r="P109" s="3" t="inlineStr"/>
    </row>
    <row r="110">
      <c r="A110" s="7">
        <f>IF(ROW()-1&lt;=("입력"!B5-"입력"!B4+1),"입력"!B4+ROW()-2,"")</f>
        <v/>
      </c>
      <c r="B110" s="3">
        <f>IF(A110="","",TEXT(A110,"aaa"))</f>
        <v/>
      </c>
      <c r="C110" s="3">
        <f>IF(A110="","",IF(NETWORKDAYS.INTL(A110,A110,"입력"!B11,"공휴일"!A:A)=1,"평일","휴일"))</f>
        <v/>
      </c>
      <c r="D110" s="3" t="n">
        <v>0</v>
      </c>
      <c r="E110" s="3" t="n">
        <v>0</v>
      </c>
      <c r="F110" s="3">
        <f>IF("입력"!B7="Y",E110,0)</f>
        <v/>
      </c>
      <c r="G110" s="3">
        <f>D110+F110</f>
        <v/>
      </c>
      <c r="H110" s="3">
        <f>"입력"!B6</f>
        <v/>
      </c>
      <c r="I110" s="3">
        <f>G110*H110</f>
        <v/>
      </c>
      <c r="J110" s="7">
        <f>IF(A110="","",A110-WEEKDAY(A110,2)+1)</f>
        <v/>
      </c>
      <c r="K110" s="3">
        <f>IF(A110="","",SUMIFS($G:$G,$J:$J,J110))</f>
        <v/>
      </c>
      <c r="L110" s="3">
        <f>IF(A110="","",COUNTIFS($J:$J,J110,$G:$G,"&gt;0"))</f>
        <v/>
      </c>
      <c r="M110" s="3">
        <f>IF(A110="","",IF(K110&gt;=15,"Y","N"))</f>
        <v/>
      </c>
      <c r="N110" s="3">
        <f>IF(A110="","",IF(M110="Y",K110/"입력"!B9,0))</f>
        <v/>
      </c>
      <c r="O110" s="3">
        <f>IF(A110="","",IF(A110=J110,N110*H110,0))</f>
        <v/>
      </c>
      <c r="P110" s="3" t="inlineStr"/>
    </row>
    <row r="111">
      <c r="A111" s="7">
        <f>IF(ROW()-1&lt;=("입력"!B5-"입력"!B4+1),"입력"!B4+ROW()-2,"")</f>
        <v/>
      </c>
      <c r="B111" s="3">
        <f>IF(A111="","",TEXT(A111,"aaa"))</f>
        <v/>
      </c>
      <c r="C111" s="3">
        <f>IF(A111="","",IF(NETWORKDAYS.INTL(A111,A111,"입력"!B11,"공휴일"!A:A)=1,"평일","휴일"))</f>
        <v/>
      </c>
      <c r="D111" s="3" t="n">
        <v>0</v>
      </c>
      <c r="E111" s="3" t="n">
        <v>0</v>
      </c>
      <c r="F111" s="3">
        <f>IF("입력"!B7="Y",E111,0)</f>
        <v/>
      </c>
      <c r="G111" s="3">
        <f>D111+F111</f>
        <v/>
      </c>
      <c r="H111" s="3">
        <f>"입력"!B6</f>
        <v/>
      </c>
      <c r="I111" s="3">
        <f>G111*H111</f>
        <v/>
      </c>
      <c r="J111" s="7">
        <f>IF(A111="","",A111-WEEKDAY(A111,2)+1)</f>
        <v/>
      </c>
      <c r="K111" s="3">
        <f>IF(A111="","",SUMIFS($G:$G,$J:$J,J111))</f>
        <v/>
      </c>
      <c r="L111" s="3">
        <f>IF(A111="","",COUNTIFS($J:$J,J111,$G:$G,"&gt;0"))</f>
        <v/>
      </c>
      <c r="M111" s="3">
        <f>IF(A111="","",IF(K111&gt;=15,"Y","N"))</f>
        <v/>
      </c>
      <c r="N111" s="3">
        <f>IF(A111="","",IF(M111="Y",K111/"입력"!B9,0))</f>
        <v/>
      </c>
      <c r="O111" s="3">
        <f>IF(A111="","",IF(A111=J111,N111*H111,0))</f>
        <v/>
      </c>
      <c r="P111" s="3" t="inlineStr"/>
    </row>
    <row r="112">
      <c r="A112" s="7">
        <f>IF(ROW()-1&lt;=("입력"!B5-"입력"!B4+1),"입력"!B4+ROW()-2,"")</f>
        <v/>
      </c>
      <c r="B112" s="3">
        <f>IF(A112="","",TEXT(A112,"aaa"))</f>
        <v/>
      </c>
      <c r="C112" s="3">
        <f>IF(A112="","",IF(NETWORKDAYS.INTL(A112,A112,"입력"!B11,"공휴일"!A:A)=1,"평일","휴일"))</f>
        <v/>
      </c>
      <c r="D112" s="3" t="n">
        <v>0</v>
      </c>
      <c r="E112" s="3" t="n">
        <v>0</v>
      </c>
      <c r="F112" s="3">
        <f>IF("입력"!B7="Y",E112,0)</f>
        <v/>
      </c>
      <c r="G112" s="3">
        <f>D112+F112</f>
        <v/>
      </c>
      <c r="H112" s="3">
        <f>"입력"!B6</f>
        <v/>
      </c>
      <c r="I112" s="3">
        <f>G112*H112</f>
        <v/>
      </c>
      <c r="J112" s="7">
        <f>IF(A112="","",A112-WEEKDAY(A112,2)+1)</f>
        <v/>
      </c>
      <c r="K112" s="3">
        <f>IF(A112="","",SUMIFS($G:$G,$J:$J,J112))</f>
        <v/>
      </c>
      <c r="L112" s="3">
        <f>IF(A112="","",COUNTIFS($J:$J,J112,$G:$G,"&gt;0"))</f>
        <v/>
      </c>
      <c r="M112" s="3">
        <f>IF(A112="","",IF(K112&gt;=15,"Y","N"))</f>
        <v/>
      </c>
      <c r="N112" s="3">
        <f>IF(A112="","",IF(M112="Y",K112/"입력"!B9,0))</f>
        <v/>
      </c>
      <c r="O112" s="3">
        <f>IF(A112="","",IF(A112=J112,N112*H112,0))</f>
        <v/>
      </c>
      <c r="P112" s="3" t="inlineStr"/>
    </row>
    <row r="113">
      <c r="A113" s="7">
        <f>IF(ROW()-1&lt;=("입력"!B5-"입력"!B4+1),"입력"!B4+ROW()-2,"")</f>
        <v/>
      </c>
      <c r="B113" s="3">
        <f>IF(A113="","",TEXT(A113,"aaa"))</f>
        <v/>
      </c>
      <c r="C113" s="3">
        <f>IF(A113="","",IF(NETWORKDAYS.INTL(A113,A113,"입력"!B11,"공휴일"!A:A)=1,"평일","휴일"))</f>
        <v/>
      </c>
      <c r="D113" s="3" t="n">
        <v>0</v>
      </c>
      <c r="E113" s="3" t="n">
        <v>0</v>
      </c>
      <c r="F113" s="3">
        <f>IF("입력"!B7="Y",E113,0)</f>
        <v/>
      </c>
      <c r="G113" s="3">
        <f>D113+F113</f>
        <v/>
      </c>
      <c r="H113" s="3">
        <f>"입력"!B6</f>
        <v/>
      </c>
      <c r="I113" s="3">
        <f>G113*H113</f>
        <v/>
      </c>
      <c r="J113" s="7">
        <f>IF(A113="","",A113-WEEKDAY(A113,2)+1)</f>
        <v/>
      </c>
      <c r="K113" s="3">
        <f>IF(A113="","",SUMIFS($G:$G,$J:$J,J113))</f>
        <v/>
      </c>
      <c r="L113" s="3">
        <f>IF(A113="","",COUNTIFS($J:$J,J113,$G:$G,"&gt;0"))</f>
        <v/>
      </c>
      <c r="M113" s="3">
        <f>IF(A113="","",IF(K113&gt;=15,"Y","N"))</f>
        <v/>
      </c>
      <c r="N113" s="3">
        <f>IF(A113="","",IF(M113="Y",K113/"입력"!B9,0))</f>
        <v/>
      </c>
      <c r="O113" s="3">
        <f>IF(A113="","",IF(A113=J113,N113*H113,0))</f>
        <v/>
      </c>
      <c r="P113" s="3" t="inlineStr"/>
    </row>
    <row r="114">
      <c r="A114" s="7">
        <f>IF(ROW()-1&lt;=("입력"!B5-"입력"!B4+1),"입력"!B4+ROW()-2,"")</f>
        <v/>
      </c>
      <c r="B114" s="3">
        <f>IF(A114="","",TEXT(A114,"aaa"))</f>
        <v/>
      </c>
      <c r="C114" s="3">
        <f>IF(A114="","",IF(NETWORKDAYS.INTL(A114,A114,"입력"!B11,"공휴일"!A:A)=1,"평일","휴일"))</f>
        <v/>
      </c>
      <c r="D114" s="3" t="n">
        <v>0</v>
      </c>
      <c r="E114" s="3" t="n">
        <v>0</v>
      </c>
      <c r="F114" s="3">
        <f>IF("입력"!B7="Y",E114,0)</f>
        <v/>
      </c>
      <c r="G114" s="3">
        <f>D114+F114</f>
        <v/>
      </c>
      <c r="H114" s="3">
        <f>"입력"!B6</f>
        <v/>
      </c>
      <c r="I114" s="3">
        <f>G114*H114</f>
        <v/>
      </c>
      <c r="J114" s="7">
        <f>IF(A114="","",A114-WEEKDAY(A114,2)+1)</f>
        <v/>
      </c>
      <c r="K114" s="3">
        <f>IF(A114="","",SUMIFS($G:$G,$J:$J,J114))</f>
        <v/>
      </c>
      <c r="L114" s="3">
        <f>IF(A114="","",COUNTIFS($J:$J,J114,$G:$G,"&gt;0"))</f>
        <v/>
      </c>
      <c r="M114" s="3">
        <f>IF(A114="","",IF(K114&gt;=15,"Y","N"))</f>
        <v/>
      </c>
      <c r="N114" s="3">
        <f>IF(A114="","",IF(M114="Y",K114/"입력"!B9,0))</f>
        <v/>
      </c>
      <c r="O114" s="3">
        <f>IF(A114="","",IF(A114=J114,N114*H114,0))</f>
        <v/>
      </c>
      <c r="P114" s="3" t="inlineStr"/>
    </row>
    <row r="115">
      <c r="A115" s="7">
        <f>IF(ROW()-1&lt;=("입력"!B5-"입력"!B4+1),"입력"!B4+ROW()-2,"")</f>
        <v/>
      </c>
      <c r="B115" s="3">
        <f>IF(A115="","",TEXT(A115,"aaa"))</f>
        <v/>
      </c>
      <c r="C115" s="3">
        <f>IF(A115="","",IF(NETWORKDAYS.INTL(A115,A115,"입력"!B11,"공휴일"!A:A)=1,"평일","휴일"))</f>
        <v/>
      </c>
      <c r="D115" s="3" t="n">
        <v>0</v>
      </c>
      <c r="E115" s="3" t="n">
        <v>0</v>
      </c>
      <c r="F115" s="3">
        <f>IF("입력"!B7="Y",E115,0)</f>
        <v/>
      </c>
      <c r="G115" s="3">
        <f>D115+F115</f>
        <v/>
      </c>
      <c r="H115" s="3">
        <f>"입력"!B6</f>
        <v/>
      </c>
      <c r="I115" s="3">
        <f>G115*H115</f>
        <v/>
      </c>
      <c r="J115" s="7">
        <f>IF(A115="","",A115-WEEKDAY(A115,2)+1)</f>
        <v/>
      </c>
      <c r="K115" s="3">
        <f>IF(A115="","",SUMIFS($G:$G,$J:$J,J115))</f>
        <v/>
      </c>
      <c r="L115" s="3">
        <f>IF(A115="","",COUNTIFS($J:$J,J115,$G:$G,"&gt;0"))</f>
        <v/>
      </c>
      <c r="M115" s="3">
        <f>IF(A115="","",IF(K115&gt;=15,"Y","N"))</f>
        <v/>
      </c>
      <c r="N115" s="3">
        <f>IF(A115="","",IF(M115="Y",K115/"입력"!B9,0))</f>
        <v/>
      </c>
      <c r="O115" s="3">
        <f>IF(A115="","",IF(A115=J115,N115*H115,0))</f>
        <v/>
      </c>
      <c r="P115" s="3" t="inlineStr"/>
    </row>
    <row r="116">
      <c r="A116" s="7">
        <f>IF(ROW()-1&lt;=("입력"!B5-"입력"!B4+1),"입력"!B4+ROW()-2,"")</f>
        <v/>
      </c>
      <c r="B116" s="3">
        <f>IF(A116="","",TEXT(A116,"aaa"))</f>
        <v/>
      </c>
      <c r="C116" s="3">
        <f>IF(A116="","",IF(NETWORKDAYS.INTL(A116,A116,"입력"!B11,"공휴일"!A:A)=1,"평일","휴일"))</f>
        <v/>
      </c>
      <c r="D116" s="3" t="n">
        <v>0</v>
      </c>
      <c r="E116" s="3" t="n">
        <v>0</v>
      </c>
      <c r="F116" s="3">
        <f>IF("입력"!B7="Y",E116,0)</f>
        <v/>
      </c>
      <c r="G116" s="3">
        <f>D116+F116</f>
        <v/>
      </c>
      <c r="H116" s="3">
        <f>"입력"!B6</f>
        <v/>
      </c>
      <c r="I116" s="3">
        <f>G116*H116</f>
        <v/>
      </c>
      <c r="J116" s="7">
        <f>IF(A116="","",A116-WEEKDAY(A116,2)+1)</f>
        <v/>
      </c>
      <c r="K116" s="3">
        <f>IF(A116="","",SUMIFS($G:$G,$J:$J,J116))</f>
        <v/>
      </c>
      <c r="L116" s="3">
        <f>IF(A116="","",COUNTIFS($J:$J,J116,$G:$G,"&gt;0"))</f>
        <v/>
      </c>
      <c r="M116" s="3">
        <f>IF(A116="","",IF(K116&gt;=15,"Y","N"))</f>
        <v/>
      </c>
      <c r="N116" s="3">
        <f>IF(A116="","",IF(M116="Y",K116/"입력"!B9,0))</f>
        <v/>
      </c>
      <c r="O116" s="3">
        <f>IF(A116="","",IF(A116=J116,N116*H116,0))</f>
        <v/>
      </c>
      <c r="P116" s="3" t="inlineStr"/>
    </row>
    <row r="117">
      <c r="A117" s="7">
        <f>IF(ROW()-1&lt;=("입력"!B5-"입력"!B4+1),"입력"!B4+ROW()-2,"")</f>
        <v/>
      </c>
      <c r="B117" s="3">
        <f>IF(A117="","",TEXT(A117,"aaa"))</f>
        <v/>
      </c>
      <c r="C117" s="3">
        <f>IF(A117="","",IF(NETWORKDAYS.INTL(A117,A117,"입력"!B11,"공휴일"!A:A)=1,"평일","휴일"))</f>
        <v/>
      </c>
      <c r="D117" s="3" t="n">
        <v>0</v>
      </c>
      <c r="E117" s="3" t="n">
        <v>0</v>
      </c>
      <c r="F117" s="3">
        <f>IF("입력"!B7="Y",E117,0)</f>
        <v/>
      </c>
      <c r="G117" s="3">
        <f>D117+F117</f>
        <v/>
      </c>
      <c r="H117" s="3">
        <f>"입력"!B6</f>
        <v/>
      </c>
      <c r="I117" s="3">
        <f>G117*H117</f>
        <v/>
      </c>
      <c r="J117" s="7">
        <f>IF(A117="","",A117-WEEKDAY(A117,2)+1)</f>
        <v/>
      </c>
      <c r="K117" s="3">
        <f>IF(A117="","",SUMIFS($G:$G,$J:$J,J117))</f>
        <v/>
      </c>
      <c r="L117" s="3">
        <f>IF(A117="","",COUNTIFS($J:$J,J117,$G:$G,"&gt;0"))</f>
        <v/>
      </c>
      <c r="M117" s="3">
        <f>IF(A117="","",IF(K117&gt;=15,"Y","N"))</f>
        <v/>
      </c>
      <c r="N117" s="3">
        <f>IF(A117="","",IF(M117="Y",K117/"입력"!B9,0))</f>
        <v/>
      </c>
      <c r="O117" s="3">
        <f>IF(A117="","",IF(A117=J117,N117*H117,0))</f>
        <v/>
      </c>
      <c r="P117" s="3" t="inlineStr"/>
    </row>
    <row r="118">
      <c r="A118" s="7">
        <f>IF(ROW()-1&lt;=("입력"!B5-"입력"!B4+1),"입력"!B4+ROW()-2,"")</f>
        <v/>
      </c>
      <c r="B118" s="3">
        <f>IF(A118="","",TEXT(A118,"aaa"))</f>
        <v/>
      </c>
      <c r="C118" s="3">
        <f>IF(A118="","",IF(NETWORKDAYS.INTL(A118,A118,"입력"!B11,"공휴일"!A:A)=1,"평일","휴일"))</f>
        <v/>
      </c>
      <c r="D118" s="3" t="n">
        <v>0</v>
      </c>
      <c r="E118" s="3" t="n">
        <v>0</v>
      </c>
      <c r="F118" s="3">
        <f>IF("입력"!B7="Y",E118,0)</f>
        <v/>
      </c>
      <c r="G118" s="3">
        <f>D118+F118</f>
        <v/>
      </c>
      <c r="H118" s="3">
        <f>"입력"!B6</f>
        <v/>
      </c>
      <c r="I118" s="3">
        <f>G118*H118</f>
        <v/>
      </c>
      <c r="J118" s="7">
        <f>IF(A118="","",A118-WEEKDAY(A118,2)+1)</f>
        <v/>
      </c>
      <c r="K118" s="3">
        <f>IF(A118="","",SUMIFS($G:$G,$J:$J,J118))</f>
        <v/>
      </c>
      <c r="L118" s="3">
        <f>IF(A118="","",COUNTIFS($J:$J,J118,$G:$G,"&gt;0"))</f>
        <v/>
      </c>
      <c r="M118" s="3">
        <f>IF(A118="","",IF(K118&gt;=15,"Y","N"))</f>
        <v/>
      </c>
      <c r="N118" s="3">
        <f>IF(A118="","",IF(M118="Y",K118/"입력"!B9,0))</f>
        <v/>
      </c>
      <c r="O118" s="3">
        <f>IF(A118="","",IF(A118=J118,N118*H118,0))</f>
        <v/>
      </c>
      <c r="P118" s="3" t="inlineStr"/>
    </row>
    <row r="119">
      <c r="A119" s="7">
        <f>IF(ROW()-1&lt;=("입력"!B5-"입력"!B4+1),"입력"!B4+ROW()-2,"")</f>
        <v/>
      </c>
      <c r="B119" s="3">
        <f>IF(A119="","",TEXT(A119,"aaa"))</f>
        <v/>
      </c>
      <c r="C119" s="3">
        <f>IF(A119="","",IF(NETWORKDAYS.INTL(A119,A119,"입력"!B11,"공휴일"!A:A)=1,"평일","휴일"))</f>
        <v/>
      </c>
      <c r="D119" s="3" t="n">
        <v>0</v>
      </c>
      <c r="E119" s="3" t="n">
        <v>0</v>
      </c>
      <c r="F119" s="3">
        <f>IF("입력"!B7="Y",E119,0)</f>
        <v/>
      </c>
      <c r="G119" s="3">
        <f>D119+F119</f>
        <v/>
      </c>
      <c r="H119" s="3">
        <f>"입력"!B6</f>
        <v/>
      </c>
      <c r="I119" s="3">
        <f>G119*H119</f>
        <v/>
      </c>
      <c r="J119" s="7">
        <f>IF(A119="","",A119-WEEKDAY(A119,2)+1)</f>
        <v/>
      </c>
      <c r="K119" s="3">
        <f>IF(A119="","",SUMIFS($G:$G,$J:$J,J119))</f>
        <v/>
      </c>
      <c r="L119" s="3">
        <f>IF(A119="","",COUNTIFS($J:$J,J119,$G:$G,"&gt;0"))</f>
        <v/>
      </c>
      <c r="M119" s="3">
        <f>IF(A119="","",IF(K119&gt;=15,"Y","N"))</f>
        <v/>
      </c>
      <c r="N119" s="3">
        <f>IF(A119="","",IF(M119="Y",K119/"입력"!B9,0))</f>
        <v/>
      </c>
      <c r="O119" s="3">
        <f>IF(A119="","",IF(A119=J119,N119*H119,0))</f>
        <v/>
      </c>
      <c r="P119" s="3" t="inlineStr"/>
    </row>
    <row r="120">
      <c r="A120" s="7">
        <f>IF(ROW()-1&lt;=("입력"!B5-"입력"!B4+1),"입력"!B4+ROW()-2,"")</f>
        <v/>
      </c>
      <c r="B120" s="3">
        <f>IF(A120="","",TEXT(A120,"aaa"))</f>
        <v/>
      </c>
      <c r="C120" s="3">
        <f>IF(A120="","",IF(NETWORKDAYS.INTL(A120,A120,"입력"!B11,"공휴일"!A:A)=1,"평일","휴일"))</f>
        <v/>
      </c>
      <c r="D120" s="3" t="n">
        <v>0</v>
      </c>
      <c r="E120" s="3" t="n">
        <v>0</v>
      </c>
      <c r="F120" s="3">
        <f>IF("입력"!B7="Y",E120,0)</f>
        <v/>
      </c>
      <c r="G120" s="3">
        <f>D120+F120</f>
        <v/>
      </c>
      <c r="H120" s="3">
        <f>"입력"!B6</f>
        <v/>
      </c>
      <c r="I120" s="3">
        <f>G120*H120</f>
        <v/>
      </c>
      <c r="J120" s="7">
        <f>IF(A120="","",A120-WEEKDAY(A120,2)+1)</f>
        <v/>
      </c>
      <c r="K120" s="3">
        <f>IF(A120="","",SUMIFS($G:$G,$J:$J,J120))</f>
        <v/>
      </c>
      <c r="L120" s="3">
        <f>IF(A120="","",COUNTIFS($J:$J,J120,$G:$G,"&gt;0"))</f>
        <v/>
      </c>
      <c r="M120" s="3">
        <f>IF(A120="","",IF(K120&gt;=15,"Y","N"))</f>
        <v/>
      </c>
      <c r="N120" s="3">
        <f>IF(A120="","",IF(M120="Y",K120/"입력"!B9,0))</f>
        <v/>
      </c>
      <c r="O120" s="3">
        <f>IF(A120="","",IF(A120=J120,N120*H120,0))</f>
        <v/>
      </c>
      <c r="P120" s="3" t="inlineStr"/>
    </row>
    <row r="121">
      <c r="A121" s="7">
        <f>IF(ROW()-1&lt;=("입력"!B5-"입력"!B4+1),"입력"!B4+ROW()-2,"")</f>
        <v/>
      </c>
      <c r="B121" s="3">
        <f>IF(A121="","",TEXT(A121,"aaa"))</f>
        <v/>
      </c>
      <c r="C121" s="3">
        <f>IF(A121="","",IF(NETWORKDAYS.INTL(A121,A121,"입력"!B11,"공휴일"!A:A)=1,"평일","휴일"))</f>
        <v/>
      </c>
      <c r="D121" s="3" t="n">
        <v>0</v>
      </c>
      <c r="E121" s="3" t="n">
        <v>0</v>
      </c>
      <c r="F121" s="3">
        <f>IF("입력"!B7="Y",E121,0)</f>
        <v/>
      </c>
      <c r="G121" s="3">
        <f>D121+F121</f>
        <v/>
      </c>
      <c r="H121" s="3">
        <f>"입력"!B6</f>
        <v/>
      </c>
      <c r="I121" s="3">
        <f>G121*H121</f>
        <v/>
      </c>
      <c r="J121" s="7">
        <f>IF(A121="","",A121-WEEKDAY(A121,2)+1)</f>
        <v/>
      </c>
      <c r="K121" s="3">
        <f>IF(A121="","",SUMIFS($G:$G,$J:$J,J121))</f>
        <v/>
      </c>
      <c r="L121" s="3">
        <f>IF(A121="","",COUNTIFS($J:$J,J121,$G:$G,"&gt;0"))</f>
        <v/>
      </c>
      <c r="M121" s="3">
        <f>IF(A121="","",IF(K121&gt;=15,"Y","N"))</f>
        <v/>
      </c>
      <c r="N121" s="3">
        <f>IF(A121="","",IF(M121="Y",K121/"입력"!B9,0))</f>
        <v/>
      </c>
      <c r="O121" s="3">
        <f>IF(A121="","",IF(A121=J121,N121*H121,0))</f>
        <v/>
      </c>
      <c r="P121" s="3" t="inlineStr"/>
    </row>
    <row r="122">
      <c r="A122" s="7">
        <f>IF(ROW()-1&lt;=("입력"!B5-"입력"!B4+1),"입력"!B4+ROW()-2,"")</f>
        <v/>
      </c>
      <c r="B122" s="3">
        <f>IF(A122="","",TEXT(A122,"aaa"))</f>
        <v/>
      </c>
      <c r="C122" s="3">
        <f>IF(A122="","",IF(NETWORKDAYS.INTL(A122,A122,"입력"!B11,"공휴일"!A:A)=1,"평일","휴일"))</f>
        <v/>
      </c>
      <c r="D122" s="3" t="n">
        <v>0</v>
      </c>
      <c r="E122" s="3" t="n">
        <v>0</v>
      </c>
      <c r="F122" s="3">
        <f>IF("입력"!B7="Y",E122,0)</f>
        <v/>
      </c>
      <c r="G122" s="3">
        <f>D122+F122</f>
        <v/>
      </c>
      <c r="H122" s="3">
        <f>"입력"!B6</f>
        <v/>
      </c>
      <c r="I122" s="3">
        <f>G122*H122</f>
        <v/>
      </c>
      <c r="J122" s="7">
        <f>IF(A122="","",A122-WEEKDAY(A122,2)+1)</f>
        <v/>
      </c>
      <c r="K122" s="3">
        <f>IF(A122="","",SUMIFS($G:$G,$J:$J,J122))</f>
        <v/>
      </c>
      <c r="L122" s="3">
        <f>IF(A122="","",COUNTIFS($J:$J,J122,$G:$G,"&gt;0"))</f>
        <v/>
      </c>
      <c r="M122" s="3">
        <f>IF(A122="","",IF(K122&gt;=15,"Y","N"))</f>
        <v/>
      </c>
      <c r="N122" s="3">
        <f>IF(A122="","",IF(M122="Y",K122/"입력"!B9,0))</f>
        <v/>
      </c>
      <c r="O122" s="3">
        <f>IF(A122="","",IF(A122=J122,N122*H122,0))</f>
        <v/>
      </c>
      <c r="P122" s="3" t="inlineStr"/>
    </row>
    <row r="123">
      <c r="A123" s="7">
        <f>IF(ROW()-1&lt;=("입력"!B5-"입력"!B4+1),"입력"!B4+ROW()-2,"")</f>
        <v/>
      </c>
      <c r="B123" s="3">
        <f>IF(A123="","",TEXT(A123,"aaa"))</f>
        <v/>
      </c>
      <c r="C123" s="3">
        <f>IF(A123="","",IF(NETWORKDAYS.INTL(A123,A123,"입력"!B11,"공휴일"!A:A)=1,"평일","휴일"))</f>
        <v/>
      </c>
      <c r="D123" s="3" t="n">
        <v>0</v>
      </c>
      <c r="E123" s="3" t="n">
        <v>0</v>
      </c>
      <c r="F123" s="3">
        <f>IF("입력"!B7="Y",E123,0)</f>
        <v/>
      </c>
      <c r="G123" s="3">
        <f>D123+F123</f>
        <v/>
      </c>
      <c r="H123" s="3">
        <f>"입력"!B6</f>
        <v/>
      </c>
      <c r="I123" s="3">
        <f>G123*H123</f>
        <v/>
      </c>
      <c r="J123" s="7">
        <f>IF(A123="","",A123-WEEKDAY(A123,2)+1)</f>
        <v/>
      </c>
      <c r="K123" s="3">
        <f>IF(A123="","",SUMIFS($G:$G,$J:$J,J123))</f>
        <v/>
      </c>
      <c r="L123" s="3">
        <f>IF(A123="","",COUNTIFS($J:$J,J123,$G:$G,"&gt;0"))</f>
        <v/>
      </c>
      <c r="M123" s="3">
        <f>IF(A123="","",IF(K123&gt;=15,"Y","N"))</f>
        <v/>
      </c>
      <c r="N123" s="3">
        <f>IF(A123="","",IF(M123="Y",K123/"입력"!B9,0))</f>
        <v/>
      </c>
      <c r="O123" s="3">
        <f>IF(A123="","",IF(A123=J123,N123*H123,0))</f>
        <v/>
      </c>
      <c r="P123" s="3" t="inlineStr"/>
    </row>
    <row r="124">
      <c r="A124" s="7">
        <f>IF(ROW()-1&lt;=("입력"!B5-"입력"!B4+1),"입력"!B4+ROW()-2,"")</f>
        <v/>
      </c>
      <c r="B124" s="3">
        <f>IF(A124="","",TEXT(A124,"aaa"))</f>
        <v/>
      </c>
      <c r="C124" s="3">
        <f>IF(A124="","",IF(NETWORKDAYS.INTL(A124,A124,"입력"!B11,"공휴일"!A:A)=1,"평일","휴일"))</f>
        <v/>
      </c>
      <c r="D124" s="3" t="n">
        <v>0</v>
      </c>
      <c r="E124" s="3" t="n">
        <v>0</v>
      </c>
      <c r="F124" s="3">
        <f>IF("입력"!B7="Y",E124,0)</f>
        <v/>
      </c>
      <c r="G124" s="3">
        <f>D124+F124</f>
        <v/>
      </c>
      <c r="H124" s="3">
        <f>"입력"!B6</f>
        <v/>
      </c>
      <c r="I124" s="3">
        <f>G124*H124</f>
        <v/>
      </c>
      <c r="J124" s="7">
        <f>IF(A124="","",A124-WEEKDAY(A124,2)+1)</f>
        <v/>
      </c>
      <c r="K124" s="3">
        <f>IF(A124="","",SUMIFS($G:$G,$J:$J,J124))</f>
        <v/>
      </c>
      <c r="L124" s="3">
        <f>IF(A124="","",COUNTIFS($J:$J,J124,$G:$G,"&gt;0"))</f>
        <v/>
      </c>
      <c r="M124" s="3">
        <f>IF(A124="","",IF(K124&gt;=15,"Y","N"))</f>
        <v/>
      </c>
      <c r="N124" s="3">
        <f>IF(A124="","",IF(M124="Y",K124/"입력"!B9,0))</f>
        <v/>
      </c>
      <c r="O124" s="3">
        <f>IF(A124="","",IF(A124=J124,N124*H124,0))</f>
        <v/>
      </c>
      <c r="P124" s="3" t="inlineStr"/>
    </row>
    <row r="125">
      <c r="A125" s="7">
        <f>IF(ROW()-1&lt;=("입력"!B5-"입력"!B4+1),"입력"!B4+ROW()-2,"")</f>
        <v/>
      </c>
      <c r="B125" s="3">
        <f>IF(A125="","",TEXT(A125,"aaa"))</f>
        <v/>
      </c>
      <c r="C125" s="3">
        <f>IF(A125="","",IF(NETWORKDAYS.INTL(A125,A125,"입력"!B11,"공휴일"!A:A)=1,"평일","휴일"))</f>
        <v/>
      </c>
      <c r="D125" s="3" t="n">
        <v>0</v>
      </c>
      <c r="E125" s="3" t="n">
        <v>0</v>
      </c>
      <c r="F125" s="3">
        <f>IF("입력"!B7="Y",E125,0)</f>
        <v/>
      </c>
      <c r="G125" s="3">
        <f>D125+F125</f>
        <v/>
      </c>
      <c r="H125" s="3">
        <f>"입력"!B6</f>
        <v/>
      </c>
      <c r="I125" s="3">
        <f>G125*H125</f>
        <v/>
      </c>
      <c r="J125" s="7">
        <f>IF(A125="","",A125-WEEKDAY(A125,2)+1)</f>
        <v/>
      </c>
      <c r="K125" s="3">
        <f>IF(A125="","",SUMIFS($G:$G,$J:$J,J125))</f>
        <v/>
      </c>
      <c r="L125" s="3">
        <f>IF(A125="","",COUNTIFS($J:$J,J125,$G:$G,"&gt;0"))</f>
        <v/>
      </c>
      <c r="M125" s="3">
        <f>IF(A125="","",IF(K125&gt;=15,"Y","N"))</f>
        <v/>
      </c>
      <c r="N125" s="3">
        <f>IF(A125="","",IF(M125="Y",K125/"입력"!B9,0))</f>
        <v/>
      </c>
      <c r="O125" s="3">
        <f>IF(A125="","",IF(A125=J125,N125*H125,0))</f>
        <v/>
      </c>
      <c r="P125" s="3" t="inlineStr"/>
    </row>
    <row r="126">
      <c r="A126" s="7">
        <f>IF(ROW()-1&lt;=("입력"!B5-"입력"!B4+1),"입력"!B4+ROW()-2,"")</f>
        <v/>
      </c>
      <c r="B126" s="3">
        <f>IF(A126="","",TEXT(A126,"aaa"))</f>
        <v/>
      </c>
      <c r="C126" s="3">
        <f>IF(A126="","",IF(NETWORKDAYS.INTL(A126,A126,"입력"!B11,"공휴일"!A:A)=1,"평일","휴일"))</f>
        <v/>
      </c>
      <c r="D126" s="3" t="n">
        <v>0</v>
      </c>
      <c r="E126" s="3" t="n">
        <v>0</v>
      </c>
      <c r="F126" s="3">
        <f>IF("입력"!B7="Y",E126,0)</f>
        <v/>
      </c>
      <c r="G126" s="3">
        <f>D126+F126</f>
        <v/>
      </c>
      <c r="H126" s="3">
        <f>"입력"!B6</f>
        <v/>
      </c>
      <c r="I126" s="3">
        <f>G126*H126</f>
        <v/>
      </c>
      <c r="J126" s="7">
        <f>IF(A126="","",A126-WEEKDAY(A126,2)+1)</f>
        <v/>
      </c>
      <c r="K126" s="3">
        <f>IF(A126="","",SUMIFS($G:$G,$J:$J,J126))</f>
        <v/>
      </c>
      <c r="L126" s="3">
        <f>IF(A126="","",COUNTIFS($J:$J,J126,$G:$G,"&gt;0"))</f>
        <v/>
      </c>
      <c r="M126" s="3">
        <f>IF(A126="","",IF(K126&gt;=15,"Y","N"))</f>
        <v/>
      </c>
      <c r="N126" s="3">
        <f>IF(A126="","",IF(M126="Y",K126/"입력"!B9,0))</f>
        <v/>
      </c>
      <c r="O126" s="3">
        <f>IF(A126="","",IF(A126=J126,N126*H126,0))</f>
        <v/>
      </c>
      <c r="P126" s="3" t="inlineStr"/>
    </row>
    <row r="127">
      <c r="A127" s="7">
        <f>IF(ROW()-1&lt;=("입력"!B5-"입력"!B4+1),"입력"!B4+ROW()-2,"")</f>
        <v/>
      </c>
      <c r="B127" s="3">
        <f>IF(A127="","",TEXT(A127,"aaa"))</f>
        <v/>
      </c>
      <c r="C127" s="3">
        <f>IF(A127="","",IF(NETWORKDAYS.INTL(A127,A127,"입력"!B11,"공휴일"!A:A)=1,"평일","휴일"))</f>
        <v/>
      </c>
      <c r="D127" s="3" t="n">
        <v>0</v>
      </c>
      <c r="E127" s="3" t="n">
        <v>0</v>
      </c>
      <c r="F127" s="3">
        <f>IF("입력"!B7="Y",E127,0)</f>
        <v/>
      </c>
      <c r="G127" s="3">
        <f>D127+F127</f>
        <v/>
      </c>
      <c r="H127" s="3">
        <f>"입력"!B6</f>
        <v/>
      </c>
      <c r="I127" s="3">
        <f>G127*H127</f>
        <v/>
      </c>
      <c r="J127" s="7">
        <f>IF(A127="","",A127-WEEKDAY(A127,2)+1)</f>
        <v/>
      </c>
      <c r="K127" s="3">
        <f>IF(A127="","",SUMIFS($G:$G,$J:$J,J127))</f>
        <v/>
      </c>
      <c r="L127" s="3">
        <f>IF(A127="","",COUNTIFS($J:$J,J127,$G:$G,"&gt;0"))</f>
        <v/>
      </c>
      <c r="M127" s="3">
        <f>IF(A127="","",IF(K127&gt;=15,"Y","N"))</f>
        <v/>
      </c>
      <c r="N127" s="3">
        <f>IF(A127="","",IF(M127="Y",K127/"입력"!B9,0))</f>
        <v/>
      </c>
      <c r="O127" s="3">
        <f>IF(A127="","",IF(A127=J127,N127*H127,0))</f>
        <v/>
      </c>
      <c r="P127" s="3" t="inlineStr"/>
    </row>
    <row r="128">
      <c r="A128" s="7">
        <f>IF(ROW()-1&lt;=("입력"!B5-"입력"!B4+1),"입력"!B4+ROW()-2,"")</f>
        <v/>
      </c>
      <c r="B128" s="3">
        <f>IF(A128="","",TEXT(A128,"aaa"))</f>
        <v/>
      </c>
      <c r="C128" s="3">
        <f>IF(A128="","",IF(NETWORKDAYS.INTL(A128,A128,"입력"!B11,"공휴일"!A:A)=1,"평일","휴일"))</f>
        <v/>
      </c>
      <c r="D128" s="3" t="n">
        <v>0</v>
      </c>
      <c r="E128" s="3" t="n">
        <v>0</v>
      </c>
      <c r="F128" s="3">
        <f>IF("입력"!B7="Y",E128,0)</f>
        <v/>
      </c>
      <c r="G128" s="3">
        <f>D128+F128</f>
        <v/>
      </c>
      <c r="H128" s="3">
        <f>"입력"!B6</f>
        <v/>
      </c>
      <c r="I128" s="3">
        <f>G128*H128</f>
        <v/>
      </c>
      <c r="J128" s="7">
        <f>IF(A128="","",A128-WEEKDAY(A128,2)+1)</f>
        <v/>
      </c>
      <c r="K128" s="3">
        <f>IF(A128="","",SUMIFS($G:$G,$J:$J,J128))</f>
        <v/>
      </c>
      <c r="L128" s="3">
        <f>IF(A128="","",COUNTIFS($J:$J,J128,$G:$G,"&gt;0"))</f>
        <v/>
      </c>
      <c r="M128" s="3">
        <f>IF(A128="","",IF(K128&gt;=15,"Y","N"))</f>
        <v/>
      </c>
      <c r="N128" s="3">
        <f>IF(A128="","",IF(M128="Y",K128/"입력"!B9,0))</f>
        <v/>
      </c>
      <c r="O128" s="3">
        <f>IF(A128="","",IF(A128=J128,N128*H128,0))</f>
        <v/>
      </c>
      <c r="P128" s="3" t="inlineStr"/>
    </row>
    <row r="129">
      <c r="A129" s="7">
        <f>IF(ROW()-1&lt;=("입력"!B5-"입력"!B4+1),"입력"!B4+ROW()-2,"")</f>
        <v/>
      </c>
      <c r="B129" s="3">
        <f>IF(A129="","",TEXT(A129,"aaa"))</f>
        <v/>
      </c>
      <c r="C129" s="3">
        <f>IF(A129="","",IF(NETWORKDAYS.INTL(A129,A129,"입력"!B11,"공휴일"!A:A)=1,"평일","휴일"))</f>
        <v/>
      </c>
      <c r="D129" s="3" t="n">
        <v>0</v>
      </c>
      <c r="E129" s="3" t="n">
        <v>0</v>
      </c>
      <c r="F129" s="3">
        <f>IF("입력"!B7="Y",E129,0)</f>
        <v/>
      </c>
      <c r="G129" s="3">
        <f>D129+F129</f>
        <v/>
      </c>
      <c r="H129" s="3">
        <f>"입력"!B6</f>
        <v/>
      </c>
      <c r="I129" s="3">
        <f>G129*H129</f>
        <v/>
      </c>
      <c r="J129" s="7">
        <f>IF(A129="","",A129-WEEKDAY(A129,2)+1)</f>
        <v/>
      </c>
      <c r="K129" s="3">
        <f>IF(A129="","",SUMIFS($G:$G,$J:$J,J129))</f>
        <v/>
      </c>
      <c r="L129" s="3">
        <f>IF(A129="","",COUNTIFS($J:$J,J129,$G:$G,"&gt;0"))</f>
        <v/>
      </c>
      <c r="M129" s="3">
        <f>IF(A129="","",IF(K129&gt;=15,"Y","N"))</f>
        <v/>
      </c>
      <c r="N129" s="3">
        <f>IF(A129="","",IF(M129="Y",K129/"입력"!B9,0))</f>
        <v/>
      </c>
      <c r="O129" s="3">
        <f>IF(A129="","",IF(A129=J129,N129*H129,0))</f>
        <v/>
      </c>
      <c r="P129" s="3" t="inlineStr"/>
    </row>
    <row r="130">
      <c r="A130" s="7">
        <f>IF(ROW()-1&lt;=("입력"!B5-"입력"!B4+1),"입력"!B4+ROW()-2,"")</f>
        <v/>
      </c>
      <c r="B130" s="3">
        <f>IF(A130="","",TEXT(A130,"aaa"))</f>
        <v/>
      </c>
      <c r="C130" s="3">
        <f>IF(A130="","",IF(NETWORKDAYS.INTL(A130,A130,"입력"!B11,"공휴일"!A:A)=1,"평일","휴일"))</f>
        <v/>
      </c>
      <c r="D130" s="3" t="n">
        <v>0</v>
      </c>
      <c r="E130" s="3" t="n">
        <v>0</v>
      </c>
      <c r="F130" s="3">
        <f>IF("입력"!B7="Y",E130,0)</f>
        <v/>
      </c>
      <c r="G130" s="3">
        <f>D130+F130</f>
        <v/>
      </c>
      <c r="H130" s="3">
        <f>"입력"!B6</f>
        <v/>
      </c>
      <c r="I130" s="3">
        <f>G130*H130</f>
        <v/>
      </c>
      <c r="J130" s="7">
        <f>IF(A130="","",A130-WEEKDAY(A130,2)+1)</f>
        <v/>
      </c>
      <c r="K130" s="3">
        <f>IF(A130="","",SUMIFS($G:$G,$J:$J,J130))</f>
        <v/>
      </c>
      <c r="L130" s="3">
        <f>IF(A130="","",COUNTIFS($J:$J,J130,$G:$G,"&gt;0"))</f>
        <v/>
      </c>
      <c r="M130" s="3">
        <f>IF(A130="","",IF(K130&gt;=15,"Y","N"))</f>
        <v/>
      </c>
      <c r="N130" s="3">
        <f>IF(A130="","",IF(M130="Y",K130/"입력"!B9,0))</f>
        <v/>
      </c>
      <c r="O130" s="3">
        <f>IF(A130="","",IF(A130=J130,N130*H130,0))</f>
        <v/>
      </c>
      <c r="P130" s="3" t="inlineStr"/>
    </row>
    <row r="131">
      <c r="A131" s="7">
        <f>IF(ROW()-1&lt;=("입력"!B5-"입력"!B4+1),"입력"!B4+ROW()-2,"")</f>
        <v/>
      </c>
      <c r="B131" s="3">
        <f>IF(A131="","",TEXT(A131,"aaa"))</f>
        <v/>
      </c>
      <c r="C131" s="3">
        <f>IF(A131="","",IF(NETWORKDAYS.INTL(A131,A131,"입력"!B11,"공휴일"!A:A)=1,"평일","휴일"))</f>
        <v/>
      </c>
      <c r="D131" s="3" t="n">
        <v>0</v>
      </c>
      <c r="E131" s="3" t="n">
        <v>0</v>
      </c>
      <c r="F131" s="3">
        <f>IF("입력"!B7="Y",E131,0)</f>
        <v/>
      </c>
      <c r="G131" s="3">
        <f>D131+F131</f>
        <v/>
      </c>
      <c r="H131" s="3">
        <f>"입력"!B6</f>
        <v/>
      </c>
      <c r="I131" s="3">
        <f>G131*H131</f>
        <v/>
      </c>
      <c r="J131" s="7">
        <f>IF(A131="","",A131-WEEKDAY(A131,2)+1)</f>
        <v/>
      </c>
      <c r="K131" s="3">
        <f>IF(A131="","",SUMIFS($G:$G,$J:$J,J131))</f>
        <v/>
      </c>
      <c r="L131" s="3">
        <f>IF(A131="","",COUNTIFS($J:$J,J131,$G:$G,"&gt;0"))</f>
        <v/>
      </c>
      <c r="M131" s="3">
        <f>IF(A131="","",IF(K131&gt;=15,"Y","N"))</f>
        <v/>
      </c>
      <c r="N131" s="3">
        <f>IF(A131="","",IF(M131="Y",K131/"입력"!B9,0))</f>
        <v/>
      </c>
      <c r="O131" s="3">
        <f>IF(A131="","",IF(A131=J131,N131*H131,0))</f>
        <v/>
      </c>
      <c r="P131" s="3" t="inlineStr"/>
    </row>
    <row r="132">
      <c r="A132" s="7">
        <f>IF(ROW()-1&lt;=("입력"!B5-"입력"!B4+1),"입력"!B4+ROW()-2,"")</f>
        <v/>
      </c>
      <c r="B132" s="3">
        <f>IF(A132="","",TEXT(A132,"aaa"))</f>
        <v/>
      </c>
      <c r="C132" s="3">
        <f>IF(A132="","",IF(NETWORKDAYS.INTL(A132,A132,"입력"!B11,"공휴일"!A:A)=1,"평일","휴일"))</f>
        <v/>
      </c>
      <c r="D132" s="3" t="n">
        <v>0</v>
      </c>
      <c r="E132" s="3" t="n">
        <v>0</v>
      </c>
      <c r="F132" s="3">
        <f>IF("입력"!B7="Y",E132,0)</f>
        <v/>
      </c>
      <c r="G132" s="3">
        <f>D132+F132</f>
        <v/>
      </c>
      <c r="H132" s="3">
        <f>"입력"!B6</f>
        <v/>
      </c>
      <c r="I132" s="3">
        <f>G132*H132</f>
        <v/>
      </c>
      <c r="J132" s="7">
        <f>IF(A132="","",A132-WEEKDAY(A132,2)+1)</f>
        <v/>
      </c>
      <c r="K132" s="3">
        <f>IF(A132="","",SUMIFS($G:$G,$J:$J,J132))</f>
        <v/>
      </c>
      <c r="L132" s="3">
        <f>IF(A132="","",COUNTIFS($J:$J,J132,$G:$G,"&gt;0"))</f>
        <v/>
      </c>
      <c r="M132" s="3">
        <f>IF(A132="","",IF(K132&gt;=15,"Y","N"))</f>
        <v/>
      </c>
      <c r="N132" s="3">
        <f>IF(A132="","",IF(M132="Y",K132/"입력"!B9,0))</f>
        <v/>
      </c>
      <c r="O132" s="3">
        <f>IF(A132="","",IF(A132=J132,N132*H132,0))</f>
        <v/>
      </c>
      <c r="P132" s="3" t="inlineStr"/>
    </row>
    <row r="133">
      <c r="A133" s="7">
        <f>IF(ROW()-1&lt;=("입력"!B5-"입력"!B4+1),"입력"!B4+ROW()-2,"")</f>
        <v/>
      </c>
      <c r="B133" s="3">
        <f>IF(A133="","",TEXT(A133,"aaa"))</f>
        <v/>
      </c>
      <c r="C133" s="3">
        <f>IF(A133="","",IF(NETWORKDAYS.INTL(A133,A133,"입력"!B11,"공휴일"!A:A)=1,"평일","휴일"))</f>
        <v/>
      </c>
      <c r="D133" s="3" t="n">
        <v>0</v>
      </c>
      <c r="E133" s="3" t="n">
        <v>0</v>
      </c>
      <c r="F133" s="3">
        <f>IF("입력"!B7="Y",E133,0)</f>
        <v/>
      </c>
      <c r="G133" s="3">
        <f>D133+F133</f>
        <v/>
      </c>
      <c r="H133" s="3">
        <f>"입력"!B6</f>
        <v/>
      </c>
      <c r="I133" s="3">
        <f>G133*H133</f>
        <v/>
      </c>
      <c r="J133" s="7">
        <f>IF(A133="","",A133-WEEKDAY(A133,2)+1)</f>
        <v/>
      </c>
      <c r="K133" s="3">
        <f>IF(A133="","",SUMIFS($G:$G,$J:$J,J133))</f>
        <v/>
      </c>
      <c r="L133" s="3">
        <f>IF(A133="","",COUNTIFS($J:$J,J133,$G:$G,"&gt;0"))</f>
        <v/>
      </c>
      <c r="M133" s="3">
        <f>IF(A133="","",IF(K133&gt;=15,"Y","N"))</f>
        <v/>
      </c>
      <c r="N133" s="3">
        <f>IF(A133="","",IF(M133="Y",K133/"입력"!B9,0))</f>
        <v/>
      </c>
      <c r="O133" s="3">
        <f>IF(A133="","",IF(A133=J133,N133*H133,0))</f>
        <v/>
      </c>
      <c r="P133" s="3" t="inlineStr"/>
    </row>
    <row r="134">
      <c r="A134" s="7">
        <f>IF(ROW()-1&lt;=("입력"!B5-"입력"!B4+1),"입력"!B4+ROW()-2,"")</f>
        <v/>
      </c>
      <c r="B134" s="3">
        <f>IF(A134="","",TEXT(A134,"aaa"))</f>
        <v/>
      </c>
      <c r="C134" s="3">
        <f>IF(A134="","",IF(NETWORKDAYS.INTL(A134,A134,"입력"!B11,"공휴일"!A:A)=1,"평일","휴일"))</f>
        <v/>
      </c>
      <c r="D134" s="3" t="n">
        <v>0</v>
      </c>
      <c r="E134" s="3" t="n">
        <v>0</v>
      </c>
      <c r="F134" s="3">
        <f>IF("입력"!B7="Y",E134,0)</f>
        <v/>
      </c>
      <c r="G134" s="3">
        <f>D134+F134</f>
        <v/>
      </c>
      <c r="H134" s="3">
        <f>"입력"!B6</f>
        <v/>
      </c>
      <c r="I134" s="3">
        <f>G134*H134</f>
        <v/>
      </c>
      <c r="J134" s="7">
        <f>IF(A134="","",A134-WEEKDAY(A134,2)+1)</f>
        <v/>
      </c>
      <c r="K134" s="3">
        <f>IF(A134="","",SUMIFS($G:$G,$J:$J,J134))</f>
        <v/>
      </c>
      <c r="L134" s="3">
        <f>IF(A134="","",COUNTIFS($J:$J,J134,$G:$G,"&gt;0"))</f>
        <v/>
      </c>
      <c r="M134" s="3">
        <f>IF(A134="","",IF(K134&gt;=15,"Y","N"))</f>
        <v/>
      </c>
      <c r="N134" s="3">
        <f>IF(A134="","",IF(M134="Y",K134/"입력"!B9,0))</f>
        <v/>
      </c>
      <c r="O134" s="3">
        <f>IF(A134="","",IF(A134=J134,N134*H134,0))</f>
        <v/>
      </c>
      <c r="P134" s="3" t="inlineStr"/>
    </row>
    <row r="135">
      <c r="A135" s="7">
        <f>IF(ROW()-1&lt;=("입력"!B5-"입력"!B4+1),"입력"!B4+ROW()-2,"")</f>
        <v/>
      </c>
      <c r="B135" s="3">
        <f>IF(A135="","",TEXT(A135,"aaa"))</f>
        <v/>
      </c>
      <c r="C135" s="3">
        <f>IF(A135="","",IF(NETWORKDAYS.INTL(A135,A135,"입력"!B11,"공휴일"!A:A)=1,"평일","휴일"))</f>
        <v/>
      </c>
      <c r="D135" s="3" t="n">
        <v>0</v>
      </c>
      <c r="E135" s="3" t="n">
        <v>0</v>
      </c>
      <c r="F135" s="3">
        <f>IF("입력"!B7="Y",E135,0)</f>
        <v/>
      </c>
      <c r="G135" s="3">
        <f>D135+F135</f>
        <v/>
      </c>
      <c r="H135" s="3">
        <f>"입력"!B6</f>
        <v/>
      </c>
      <c r="I135" s="3">
        <f>G135*H135</f>
        <v/>
      </c>
      <c r="J135" s="7">
        <f>IF(A135="","",A135-WEEKDAY(A135,2)+1)</f>
        <v/>
      </c>
      <c r="K135" s="3">
        <f>IF(A135="","",SUMIFS($G:$G,$J:$J,J135))</f>
        <v/>
      </c>
      <c r="L135" s="3">
        <f>IF(A135="","",COUNTIFS($J:$J,J135,$G:$G,"&gt;0"))</f>
        <v/>
      </c>
      <c r="M135" s="3">
        <f>IF(A135="","",IF(K135&gt;=15,"Y","N"))</f>
        <v/>
      </c>
      <c r="N135" s="3">
        <f>IF(A135="","",IF(M135="Y",K135/"입력"!B9,0))</f>
        <v/>
      </c>
      <c r="O135" s="3">
        <f>IF(A135="","",IF(A135=J135,N135*H135,0))</f>
        <v/>
      </c>
      <c r="P135" s="3" t="inlineStr"/>
    </row>
    <row r="136">
      <c r="A136" s="7">
        <f>IF(ROW()-1&lt;=("입력"!B5-"입력"!B4+1),"입력"!B4+ROW()-2,"")</f>
        <v/>
      </c>
      <c r="B136" s="3">
        <f>IF(A136="","",TEXT(A136,"aaa"))</f>
        <v/>
      </c>
      <c r="C136" s="3">
        <f>IF(A136="","",IF(NETWORKDAYS.INTL(A136,A136,"입력"!B11,"공휴일"!A:A)=1,"평일","휴일"))</f>
        <v/>
      </c>
      <c r="D136" s="3" t="n">
        <v>0</v>
      </c>
      <c r="E136" s="3" t="n">
        <v>0</v>
      </c>
      <c r="F136" s="3">
        <f>IF("입력"!B7="Y",E136,0)</f>
        <v/>
      </c>
      <c r="G136" s="3">
        <f>D136+F136</f>
        <v/>
      </c>
      <c r="H136" s="3">
        <f>"입력"!B6</f>
        <v/>
      </c>
      <c r="I136" s="3">
        <f>G136*H136</f>
        <v/>
      </c>
      <c r="J136" s="7">
        <f>IF(A136="","",A136-WEEKDAY(A136,2)+1)</f>
        <v/>
      </c>
      <c r="K136" s="3">
        <f>IF(A136="","",SUMIFS($G:$G,$J:$J,J136))</f>
        <v/>
      </c>
      <c r="L136" s="3">
        <f>IF(A136="","",COUNTIFS($J:$J,J136,$G:$G,"&gt;0"))</f>
        <v/>
      </c>
      <c r="M136" s="3">
        <f>IF(A136="","",IF(K136&gt;=15,"Y","N"))</f>
        <v/>
      </c>
      <c r="N136" s="3">
        <f>IF(A136="","",IF(M136="Y",K136/"입력"!B9,0))</f>
        <v/>
      </c>
      <c r="O136" s="3">
        <f>IF(A136="","",IF(A136=J136,N136*H136,0))</f>
        <v/>
      </c>
      <c r="P136" s="3" t="inlineStr"/>
    </row>
    <row r="137">
      <c r="A137" s="7">
        <f>IF(ROW()-1&lt;=("입력"!B5-"입력"!B4+1),"입력"!B4+ROW()-2,"")</f>
        <v/>
      </c>
      <c r="B137" s="3">
        <f>IF(A137="","",TEXT(A137,"aaa"))</f>
        <v/>
      </c>
      <c r="C137" s="3">
        <f>IF(A137="","",IF(NETWORKDAYS.INTL(A137,A137,"입력"!B11,"공휴일"!A:A)=1,"평일","휴일"))</f>
        <v/>
      </c>
      <c r="D137" s="3" t="n">
        <v>0</v>
      </c>
      <c r="E137" s="3" t="n">
        <v>0</v>
      </c>
      <c r="F137" s="3">
        <f>IF("입력"!B7="Y",E137,0)</f>
        <v/>
      </c>
      <c r="G137" s="3">
        <f>D137+F137</f>
        <v/>
      </c>
      <c r="H137" s="3">
        <f>"입력"!B6</f>
        <v/>
      </c>
      <c r="I137" s="3">
        <f>G137*H137</f>
        <v/>
      </c>
      <c r="J137" s="7">
        <f>IF(A137="","",A137-WEEKDAY(A137,2)+1)</f>
        <v/>
      </c>
      <c r="K137" s="3">
        <f>IF(A137="","",SUMIFS($G:$G,$J:$J,J137))</f>
        <v/>
      </c>
      <c r="L137" s="3">
        <f>IF(A137="","",COUNTIFS($J:$J,J137,$G:$G,"&gt;0"))</f>
        <v/>
      </c>
      <c r="M137" s="3">
        <f>IF(A137="","",IF(K137&gt;=15,"Y","N"))</f>
        <v/>
      </c>
      <c r="N137" s="3">
        <f>IF(A137="","",IF(M137="Y",K137/"입력"!B9,0))</f>
        <v/>
      </c>
      <c r="O137" s="3">
        <f>IF(A137="","",IF(A137=J137,N137*H137,0))</f>
        <v/>
      </c>
      <c r="P137" s="3" t="inlineStr"/>
    </row>
    <row r="138">
      <c r="A138" s="7">
        <f>IF(ROW()-1&lt;=("입력"!B5-"입력"!B4+1),"입력"!B4+ROW()-2,"")</f>
        <v/>
      </c>
      <c r="B138" s="3">
        <f>IF(A138="","",TEXT(A138,"aaa"))</f>
        <v/>
      </c>
      <c r="C138" s="3">
        <f>IF(A138="","",IF(NETWORKDAYS.INTL(A138,A138,"입력"!B11,"공휴일"!A:A)=1,"평일","휴일"))</f>
        <v/>
      </c>
      <c r="D138" s="3" t="n">
        <v>0</v>
      </c>
      <c r="E138" s="3" t="n">
        <v>0</v>
      </c>
      <c r="F138" s="3">
        <f>IF("입력"!B7="Y",E138,0)</f>
        <v/>
      </c>
      <c r="G138" s="3">
        <f>D138+F138</f>
        <v/>
      </c>
      <c r="H138" s="3">
        <f>"입력"!B6</f>
        <v/>
      </c>
      <c r="I138" s="3">
        <f>G138*H138</f>
        <v/>
      </c>
      <c r="J138" s="7">
        <f>IF(A138="","",A138-WEEKDAY(A138,2)+1)</f>
        <v/>
      </c>
      <c r="K138" s="3">
        <f>IF(A138="","",SUMIFS($G:$G,$J:$J,J138))</f>
        <v/>
      </c>
      <c r="L138" s="3">
        <f>IF(A138="","",COUNTIFS($J:$J,J138,$G:$G,"&gt;0"))</f>
        <v/>
      </c>
      <c r="M138" s="3">
        <f>IF(A138="","",IF(K138&gt;=15,"Y","N"))</f>
        <v/>
      </c>
      <c r="N138" s="3">
        <f>IF(A138="","",IF(M138="Y",K138/"입력"!B9,0))</f>
        <v/>
      </c>
      <c r="O138" s="3">
        <f>IF(A138="","",IF(A138=J138,N138*H138,0))</f>
        <v/>
      </c>
      <c r="P138" s="3" t="inlineStr"/>
    </row>
    <row r="139">
      <c r="A139" s="7">
        <f>IF(ROW()-1&lt;=("입력"!B5-"입력"!B4+1),"입력"!B4+ROW()-2,"")</f>
        <v/>
      </c>
      <c r="B139" s="3">
        <f>IF(A139="","",TEXT(A139,"aaa"))</f>
        <v/>
      </c>
      <c r="C139" s="3">
        <f>IF(A139="","",IF(NETWORKDAYS.INTL(A139,A139,"입력"!B11,"공휴일"!A:A)=1,"평일","휴일"))</f>
        <v/>
      </c>
      <c r="D139" s="3" t="n">
        <v>0</v>
      </c>
      <c r="E139" s="3" t="n">
        <v>0</v>
      </c>
      <c r="F139" s="3">
        <f>IF("입력"!B7="Y",E139,0)</f>
        <v/>
      </c>
      <c r="G139" s="3">
        <f>D139+F139</f>
        <v/>
      </c>
      <c r="H139" s="3">
        <f>"입력"!B6</f>
        <v/>
      </c>
      <c r="I139" s="3">
        <f>G139*H139</f>
        <v/>
      </c>
      <c r="J139" s="7">
        <f>IF(A139="","",A139-WEEKDAY(A139,2)+1)</f>
        <v/>
      </c>
      <c r="K139" s="3">
        <f>IF(A139="","",SUMIFS($G:$G,$J:$J,J139))</f>
        <v/>
      </c>
      <c r="L139" s="3">
        <f>IF(A139="","",COUNTIFS($J:$J,J139,$G:$G,"&gt;0"))</f>
        <v/>
      </c>
      <c r="M139" s="3">
        <f>IF(A139="","",IF(K139&gt;=15,"Y","N"))</f>
        <v/>
      </c>
      <c r="N139" s="3">
        <f>IF(A139="","",IF(M139="Y",K139/"입력"!B9,0))</f>
        <v/>
      </c>
      <c r="O139" s="3">
        <f>IF(A139="","",IF(A139=J139,N139*H139,0))</f>
        <v/>
      </c>
      <c r="P139" s="3" t="inlineStr"/>
    </row>
    <row r="140">
      <c r="A140" s="7">
        <f>IF(ROW()-1&lt;=("입력"!B5-"입력"!B4+1),"입력"!B4+ROW()-2,"")</f>
        <v/>
      </c>
      <c r="B140" s="3">
        <f>IF(A140="","",TEXT(A140,"aaa"))</f>
        <v/>
      </c>
      <c r="C140" s="3">
        <f>IF(A140="","",IF(NETWORKDAYS.INTL(A140,A140,"입력"!B11,"공휴일"!A:A)=1,"평일","휴일"))</f>
        <v/>
      </c>
      <c r="D140" s="3" t="n">
        <v>0</v>
      </c>
      <c r="E140" s="3" t="n">
        <v>0</v>
      </c>
      <c r="F140" s="3">
        <f>IF("입력"!B7="Y",E140,0)</f>
        <v/>
      </c>
      <c r="G140" s="3">
        <f>D140+F140</f>
        <v/>
      </c>
      <c r="H140" s="3">
        <f>"입력"!B6</f>
        <v/>
      </c>
      <c r="I140" s="3">
        <f>G140*H140</f>
        <v/>
      </c>
      <c r="J140" s="7">
        <f>IF(A140="","",A140-WEEKDAY(A140,2)+1)</f>
        <v/>
      </c>
      <c r="K140" s="3">
        <f>IF(A140="","",SUMIFS($G:$G,$J:$J,J140))</f>
        <v/>
      </c>
      <c r="L140" s="3">
        <f>IF(A140="","",COUNTIFS($J:$J,J140,$G:$G,"&gt;0"))</f>
        <v/>
      </c>
      <c r="M140" s="3">
        <f>IF(A140="","",IF(K140&gt;=15,"Y","N"))</f>
        <v/>
      </c>
      <c r="N140" s="3">
        <f>IF(A140="","",IF(M140="Y",K140/"입력"!B9,0))</f>
        <v/>
      </c>
      <c r="O140" s="3">
        <f>IF(A140="","",IF(A140=J140,N140*H140,0))</f>
        <v/>
      </c>
      <c r="P140" s="3" t="inlineStr"/>
    </row>
    <row r="141">
      <c r="A141" s="7">
        <f>IF(ROW()-1&lt;=("입력"!B5-"입력"!B4+1),"입력"!B4+ROW()-2,"")</f>
        <v/>
      </c>
      <c r="B141" s="3">
        <f>IF(A141="","",TEXT(A141,"aaa"))</f>
        <v/>
      </c>
      <c r="C141" s="3">
        <f>IF(A141="","",IF(NETWORKDAYS.INTL(A141,A141,"입력"!B11,"공휴일"!A:A)=1,"평일","휴일"))</f>
        <v/>
      </c>
      <c r="D141" s="3" t="n">
        <v>0</v>
      </c>
      <c r="E141" s="3" t="n">
        <v>0</v>
      </c>
      <c r="F141" s="3">
        <f>IF("입력"!B7="Y",E141,0)</f>
        <v/>
      </c>
      <c r="G141" s="3">
        <f>D141+F141</f>
        <v/>
      </c>
      <c r="H141" s="3">
        <f>"입력"!B6</f>
        <v/>
      </c>
      <c r="I141" s="3">
        <f>G141*H141</f>
        <v/>
      </c>
      <c r="J141" s="7">
        <f>IF(A141="","",A141-WEEKDAY(A141,2)+1)</f>
        <v/>
      </c>
      <c r="K141" s="3">
        <f>IF(A141="","",SUMIFS($G:$G,$J:$J,J141))</f>
        <v/>
      </c>
      <c r="L141" s="3">
        <f>IF(A141="","",COUNTIFS($J:$J,J141,$G:$G,"&gt;0"))</f>
        <v/>
      </c>
      <c r="M141" s="3">
        <f>IF(A141="","",IF(K141&gt;=15,"Y","N"))</f>
        <v/>
      </c>
      <c r="N141" s="3">
        <f>IF(A141="","",IF(M141="Y",K141/"입력"!B9,0))</f>
        <v/>
      </c>
      <c r="O141" s="3">
        <f>IF(A141="","",IF(A141=J141,N141*H141,0))</f>
        <v/>
      </c>
      <c r="P141" s="3" t="inlineStr"/>
    </row>
    <row r="142">
      <c r="A142" s="7">
        <f>IF(ROW()-1&lt;=("입력"!B5-"입력"!B4+1),"입력"!B4+ROW()-2,"")</f>
        <v/>
      </c>
      <c r="B142" s="3">
        <f>IF(A142="","",TEXT(A142,"aaa"))</f>
        <v/>
      </c>
      <c r="C142" s="3">
        <f>IF(A142="","",IF(NETWORKDAYS.INTL(A142,A142,"입력"!B11,"공휴일"!A:A)=1,"평일","휴일"))</f>
        <v/>
      </c>
      <c r="D142" s="3" t="n">
        <v>0</v>
      </c>
      <c r="E142" s="3" t="n">
        <v>0</v>
      </c>
      <c r="F142" s="3">
        <f>IF("입력"!B7="Y",E142,0)</f>
        <v/>
      </c>
      <c r="G142" s="3">
        <f>D142+F142</f>
        <v/>
      </c>
      <c r="H142" s="3">
        <f>"입력"!B6</f>
        <v/>
      </c>
      <c r="I142" s="3">
        <f>G142*H142</f>
        <v/>
      </c>
      <c r="J142" s="7">
        <f>IF(A142="","",A142-WEEKDAY(A142,2)+1)</f>
        <v/>
      </c>
      <c r="K142" s="3">
        <f>IF(A142="","",SUMIFS($G:$G,$J:$J,J142))</f>
        <v/>
      </c>
      <c r="L142" s="3">
        <f>IF(A142="","",COUNTIFS($J:$J,J142,$G:$G,"&gt;0"))</f>
        <v/>
      </c>
      <c r="M142" s="3">
        <f>IF(A142="","",IF(K142&gt;=15,"Y","N"))</f>
        <v/>
      </c>
      <c r="N142" s="3">
        <f>IF(A142="","",IF(M142="Y",K142/"입력"!B9,0))</f>
        <v/>
      </c>
      <c r="O142" s="3">
        <f>IF(A142="","",IF(A142=J142,N142*H142,0))</f>
        <v/>
      </c>
      <c r="P142" s="3" t="inlineStr"/>
    </row>
    <row r="143">
      <c r="A143" s="7">
        <f>IF(ROW()-1&lt;=("입력"!B5-"입력"!B4+1),"입력"!B4+ROW()-2,"")</f>
        <v/>
      </c>
      <c r="B143" s="3">
        <f>IF(A143="","",TEXT(A143,"aaa"))</f>
        <v/>
      </c>
      <c r="C143" s="3">
        <f>IF(A143="","",IF(NETWORKDAYS.INTL(A143,A143,"입력"!B11,"공휴일"!A:A)=1,"평일","휴일"))</f>
        <v/>
      </c>
      <c r="D143" s="3" t="n">
        <v>0</v>
      </c>
      <c r="E143" s="3" t="n">
        <v>0</v>
      </c>
      <c r="F143" s="3">
        <f>IF("입력"!B7="Y",E143,0)</f>
        <v/>
      </c>
      <c r="G143" s="3">
        <f>D143+F143</f>
        <v/>
      </c>
      <c r="H143" s="3">
        <f>"입력"!B6</f>
        <v/>
      </c>
      <c r="I143" s="3">
        <f>G143*H143</f>
        <v/>
      </c>
      <c r="J143" s="7">
        <f>IF(A143="","",A143-WEEKDAY(A143,2)+1)</f>
        <v/>
      </c>
      <c r="K143" s="3">
        <f>IF(A143="","",SUMIFS($G:$G,$J:$J,J143))</f>
        <v/>
      </c>
      <c r="L143" s="3">
        <f>IF(A143="","",COUNTIFS($J:$J,J143,$G:$G,"&gt;0"))</f>
        <v/>
      </c>
      <c r="M143" s="3">
        <f>IF(A143="","",IF(K143&gt;=15,"Y","N"))</f>
        <v/>
      </c>
      <c r="N143" s="3">
        <f>IF(A143="","",IF(M143="Y",K143/"입력"!B9,0))</f>
        <v/>
      </c>
      <c r="O143" s="3">
        <f>IF(A143="","",IF(A143=J143,N143*H143,0))</f>
        <v/>
      </c>
      <c r="P143" s="3" t="inlineStr"/>
    </row>
    <row r="144">
      <c r="A144" s="7">
        <f>IF(ROW()-1&lt;=("입력"!B5-"입력"!B4+1),"입력"!B4+ROW()-2,"")</f>
        <v/>
      </c>
      <c r="B144" s="3">
        <f>IF(A144="","",TEXT(A144,"aaa"))</f>
        <v/>
      </c>
      <c r="C144" s="3">
        <f>IF(A144="","",IF(NETWORKDAYS.INTL(A144,A144,"입력"!B11,"공휴일"!A:A)=1,"평일","휴일"))</f>
        <v/>
      </c>
      <c r="D144" s="3" t="n">
        <v>0</v>
      </c>
      <c r="E144" s="3" t="n">
        <v>0</v>
      </c>
      <c r="F144" s="3">
        <f>IF("입력"!B7="Y",E144,0)</f>
        <v/>
      </c>
      <c r="G144" s="3">
        <f>D144+F144</f>
        <v/>
      </c>
      <c r="H144" s="3">
        <f>"입력"!B6</f>
        <v/>
      </c>
      <c r="I144" s="3">
        <f>G144*H144</f>
        <v/>
      </c>
      <c r="J144" s="7">
        <f>IF(A144="","",A144-WEEKDAY(A144,2)+1)</f>
        <v/>
      </c>
      <c r="K144" s="3">
        <f>IF(A144="","",SUMIFS($G:$G,$J:$J,J144))</f>
        <v/>
      </c>
      <c r="L144" s="3">
        <f>IF(A144="","",COUNTIFS($J:$J,J144,$G:$G,"&gt;0"))</f>
        <v/>
      </c>
      <c r="M144" s="3">
        <f>IF(A144="","",IF(K144&gt;=15,"Y","N"))</f>
        <v/>
      </c>
      <c r="N144" s="3">
        <f>IF(A144="","",IF(M144="Y",K144/"입력"!B9,0))</f>
        <v/>
      </c>
      <c r="O144" s="3">
        <f>IF(A144="","",IF(A144=J144,N144*H144,0))</f>
        <v/>
      </c>
      <c r="P144" s="3" t="inlineStr"/>
    </row>
    <row r="145">
      <c r="A145" s="7">
        <f>IF(ROW()-1&lt;=("입력"!B5-"입력"!B4+1),"입력"!B4+ROW()-2,"")</f>
        <v/>
      </c>
      <c r="B145" s="3">
        <f>IF(A145="","",TEXT(A145,"aaa"))</f>
        <v/>
      </c>
      <c r="C145" s="3">
        <f>IF(A145="","",IF(NETWORKDAYS.INTL(A145,A145,"입력"!B11,"공휴일"!A:A)=1,"평일","휴일"))</f>
        <v/>
      </c>
      <c r="D145" s="3" t="n">
        <v>0</v>
      </c>
      <c r="E145" s="3" t="n">
        <v>0</v>
      </c>
      <c r="F145" s="3">
        <f>IF("입력"!B7="Y",E145,0)</f>
        <v/>
      </c>
      <c r="G145" s="3">
        <f>D145+F145</f>
        <v/>
      </c>
      <c r="H145" s="3">
        <f>"입력"!B6</f>
        <v/>
      </c>
      <c r="I145" s="3">
        <f>G145*H145</f>
        <v/>
      </c>
      <c r="J145" s="7">
        <f>IF(A145="","",A145-WEEKDAY(A145,2)+1)</f>
        <v/>
      </c>
      <c r="K145" s="3">
        <f>IF(A145="","",SUMIFS($G:$G,$J:$J,J145))</f>
        <v/>
      </c>
      <c r="L145" s="3">
        <f>IF(A145="","",COUNTIFS($J:$J,J145,$G:$G,"&gt;0"))</f>
        <v/>
      </c>
      <c r="M145" s="3">
        <f>IF(A145="","",IF(K145&gt;=15,"Y","N"))</f>
        <v/>
      </c>
      <c r="N145" s="3">
        <f>IF(A145="","",IF(M145="Y",K145/"입력"!B9,0))</f>
        <v/>
      </c>
      <c r="O145" s="3">
        <f>IF(A145="","",IF(A145=J145,N145*H145,0))</f>
        <v/>
      </c>
      <c r="P145" s="3" t="inlineStr"/>
    </row>
    <row r="146">
      <c r="A146" s="7">
        <f>IF(ROW()-1&lt;=("입력"!B5-"입력"!B4+1),"입력"!B4+ROW()-2,"")</f>
        <v/>
      </c>
      <c r="B146" s="3">
        <f>IF(A146="","",TEXT(A146,"aaa"))</f>
        <v/>
      </c>
      <c r="C146" s="3">
        <f>IF(A146="","",IF(NETWORKDAYS.INTL(A146,A146,"입력"!B11,"공휴일"!A:A)=1,"평일","휴일"))</f>
        <v/>
      </c>
      <c r="D146" s="3" t="n">
        <v>0</v>
      </c>
      <c r="E146" s="3" t="n">
        <v>0</v>
      </c>
      <c r="F146" s="3">
        <f>IF("입력"!B7="Y",E146,0)</f>
        <v/>
      </c>
      <c r="G146" s="3">
        <f>D146+F146</f>
        <v/>
      </c>
      <c r="H146" s="3">
        <f>"입력"!B6</f>
        <v/>
      </c>
      <c r="I146" s="3">
        <f>G146*H146</f>
        <v/>
      </c>
      <c r="J146" s="7">
        <f>IF(A146="","",A146-WEEKDAY(A146,2)+1)</f>
        <v/>
      </c>
      <c r="K146" s="3">
        <f>IF(A146="","",SUMIFS($G:$G,$J:$J,J146))</f>
        <v/>
      </c>
      <c r="L146" s="3">
        <f>IF(A146="","",COUNTIFS($J:$J,J146,$G:$G,"&gt;0"))</f>
        <v/>
      </c>
      <c r="M146" s="3">
        <f>IF(A146="","",IF(K146&gt;=15,"Y","N"))</f>
        <v/>
      </c>
      <c r="N146" s="3">
        <f>IF(A146="","",IF(M146="Y",K146/"입력"!B9,0))</f>
        <v/>
      </c>
      <c r="O146" s="3">
        <f>IF(A146="","",IF(A146=J146,N146*H146,0))</f>
        <v/>
      </c>
      <c r="P146" s="3" t="inlineStr"/>
    </row>
    <row r="147">
      <c r="A147" s="7">
        <f>IF(ROW()-1&lt;=("입력"!B5-"입력"!B4+1),"입력"!B4+ROW()-2,"")</f>
        <v/>
      </c>
      <c r="B147" s="3">
        <f>IF(A147="","",TEXT(A147,"aaa"))</f>
        <v/>
      </c>
      <c r="C147" s="3">
        <f>IF(A147="","",IF(NETWORKDAYS.INTL(A147,A147,"입력"!B11,"공휴일"!A:A)=1,"평일","휴일"))</f>
        <v/>
      </c>
      <c r="D147" s="3" t="n">
        <v>0</v>
      </c>
      <c r="E147" s="3" t="n">
        <v>0</v>
      </c>
      <c r="F147" s="3">
        <f>IF("입력"!B7="Y",E147,0)</f>
        <v/>
      </c>
      <c r="G147" s="3">
        <f>D147+F147</f>
        <v/>
      </c>
      <c r="H147" s="3">
        <f>"입력"!B6</f>
        <v/>
      </c>
      <c r="I147" s="3">
        <f>G147*H147</f>
        <v/>
      </c>
      <c r="J147" s="7">
        <f>IF(A147="","",A147-WEEKDAY(A147,2)+1)</f>
        <v/>
      </c>
      <c r="K147" s="3">
        <f>IF(A147="","",SUMIFS($G:$G,$J:$J,J147))</f>
        <v/>
      </c>
      <c r="L147" s="3">
        <f>IF(A147="","",COUNTIFS($J:$J,J147,$G:$G,"&gt;0"))</f>
        <v/>
      </c>
      <c r="M147" s="3">
        <f>IF(A147="","",IF(K147&gt;=15,"Y","N"))</f>
        <v/>
      </c>
      <c r="N147" s="3">
        <f>IF(A147="","",IF(M147="Y",K147/"입력"!B9,0))</f>
        <v/>
      </c>
      <c r="O147" s="3">
        <f>IF(A147="","",IF(A147=J147,N147*H147,0))</f>
        <v/>
      </c>
      <c r="P147" s="3" t="inlineStr"/>
    </row>
    <row r="148">
      <c r="A148" s="7">
        <f>IF(ROW()-1&lt;=("입력"!B5-"입력"!B4+1),"입력"!B4+ROW()-2,"")</f>
        <v/>
      </c>
      <c r="B148" s="3">
        <f>IF(A148="","",TEXT(A148,"aaa"))</f>
        <v/>
      </c>
      <c r="C148" s="3">
        <f>IF(A148="","",IF(NETWORKDAYS.INTL(A148,A148,"입력"!B11,"공휴일"!A:A)=1,"평일","휴일"))</f>
        <v/>
      </c>
      <c r="D148" s="3" t="n">
        <v>0</v>
      </c>
      <c r="E148" s="3" t="n">
        <v>0</v>
      </c>
      <c r="F148" s="3">
        <f>IF("입력"!B7="Y",E148,0)</f>
        <v/>
      </c>
      <c r="G148" s="3">
        <f>D148+F148</f>
        <v/>
      </c>
      <c r="H148" s="3">
        <f>"입력"!B6</f>
        <v/>
      </c>
      <c r="I148" s="3">
        <f>G148*H148</f>
        <v/>
      </c>
      <c r="J148" s="7">
        <f>IF(A148="","",A148-WEEKDAY(A148,2)+1)</f>
        <v/>
      </c>
      <c r="K148" s="3">
        <f>IF(A148="","",SUMIFS($G:$G,$J:$J,J148))</f>
        <v/>
      </c>
      <c r="L148" s="3">
        <f>IF(A148="","",COUNTIFS($J:$J,J148,$G:$G,"&gt;0"))</f>
        <v/>
      </c>
      <c r="M148" s="3">
        <f>IF(A148="","",IF(K148&gt;=15,"Y","N"))</f>
        <v/>
      </c>
      <c r="N148" s="3">
        <f>IF(A148="","",IF(M148="Y",K148/"입력"!B9,0))</f>
        <v/>
      </c>
      <c r="O148" s="3">
        <f>IF(A148="","",IF(A148=J148,N148*H148,0))</f>
        <v/>
      </c>
      <c r="P148" s="3" t="inlineStr"/>
    </row>
    <row r="149">
      <c r="A149" s="7">
        <f>IF(ROW()-1&lt;=("입력"!B5-"입력"!B4+1),"입력"!B4+ROW()-2,"")</f>
        <v/>
      </c>
      <c r="B149" s="3">
        <f>IF(A149="","",TEXT(A149,"aaa"))</f>
        <v/>
      </c>
      <c r="C149" s="3">
        <f>IF(A149="","",IF(NETWORKDAYS.INTL(A149,A149,"입력"!B11,"공휴일"!A:A)=1,"평일","휴일"))</f>
        <v/>
      </c>
      <c r="D149" s="3" t="n">
        <v>0</v>
      </c>
      <c r="E149" s="3" t="n">
        <v>0</v>
      </c>
      <c r="F149" s="3">
        <f>IF("입력"!B7="Y",E149,0)</f>
        <v/>
      </c>
      <c r="G149" s="3">
        <f>D149+F149</f>
        <v/>
      </c>
      <c r="H149" s="3">
        <f>"입력"!B6</f>
        <v/>
      </c>
      <c r="I149" s="3">
        <f>G149*H149</f>
        <v/>
      </c>
      <c r="J149" s="7">
        <f>IF(A149="","",A149-WEEKDAY(A149,2)+1)</f>
        <v/>
      </c>
      <c r="K149" s="3">
        <f>IF(A149="","",SUMIFS($G:$G,$J:$J,J149))</f>
        <v/>
      </c>
      <c r="L149" s="3">
        <f>IF(A149="","",COUNTIFS($J:$J,J149,$G:$G,"&gt;0"))</f>
        <v/>
      </c>
      <c r="M149" s="3">
        <f>IF(A149="","",IF(K149&gt;=15,"Y","N"))</f>
        <v/>
      </c>
      <c r="N149" s="3">
        <f>IF(A149="","",IF(M149="Y",K149/"입력"!B9,0))</f>
        <v/>
      </c>
      <c r="O149" s="3">
        <f>IF(A149="","",IF(A149=J149,N149*H149,0))</f>
        <v/>
      </c>
      <c r="P149" s="3" t="inlineStr"/>
    </row>
    <row r="150">
      <c r="A150" s="7">
        <f>IF(ROW()-1&lt;=("입력"!B5-"입력"!B4+1),"입력"!B4+ROW()-2,"")</f>
        <v/>
      </c>
      <c r="B150" s="3">
        <f>IF(A150="","",TEXT(A150,"aaa"))</f>
        <v/>
      </c>
      <c r="C150" s="3">
        <f>IF(A150="","",IF(NETWORKDAYS.INTL(A150,A150,"입력"!B11,"공휴일"!A:A)=1,"평일","휴일"))</f>
        <v/>
      </c>
      <c r="D150" s="3" t="n">
        <v>0</v>
      </c>
      <c r="E150" s="3" t="n">
        <v>0</v>
      </c>
      <c r="F150" s="3">
        <f>IF("입력"!B7="Y",E150,0)</f>
        <v/>
      </c>
      <c r="G150" s="3">
        <f>D150+F150</f>
        <v/>
      </c>
      <c r="H150" s="3">
        <f>"입력"!B6</f>
        <v/>
      </c>
      <c r="I150" s="3">
        <f>G150*H150</f>
        <v/>
      </c>
      <c r="J150" s="7">
        <f>IF(A150="","",A150-WEEKDAY(A150,2)+1)</f>
        <v/>
      </c>
      <c r="K150" s="3">
        <f>IF(A150="","",SUMIFS($G:$G,$J:$J,J150))</f>
        <v/>
      </c>
      <c r="L150" s="3">
        <f>IF(A150="","",COUNTIFS($J:$J,J150,$G:$G,"&gt;0"))</f>
        <v/>
      </c>
      <c r="M150" s="3">
        <f>IF(A150="","",IF(K150&gt;=15,"Y","N"))</f>
        <v/>
      </c>
      <c r="N150" s="3">
        <f>IF(A150="","",IF(M150="Y",K150/"입력"!B9,0))</f>
        <v/>
      </c>
      <c r="O150" s="3">
        <f>IF(A150="","",IF(A150=J150,N150*H150,0))</f>
        <v/>
      </c>
      <c r="P150" s="3" t="inlineStr"/>
    </row>
    <row r="151">
      <c r="A151" s="7">
        <f>IF(ROW()-1&lt;=("입력"!B5-"입력"!B4+1),"입력"!B4+ROW()-2,"")</f>
        <v/>
      </c>
      <c r="B151" s="3">
        <f>IF(A151="","",TEXT(A151,"aaa"))</f>
        <v/>
      </c>
      <c r="C151" s="3">
        <f>IF(A151="","",IF(NETWORKDAYS.INTL(A151,A151,"입력"!B11,"공휴일"!A:A)=1,"평일","휴일"))</f>
        <v/>
      </c>
      <c r="D151" s="3" t="n">
        <v>0</v>
      </c>
      <c r="E151" s="3" t="n">
        <v>0</v>
      </c>
      <c r="F151" s="3">
        <f>IF("입력"!B7="Y",E151,0)</f>
        <v/>
      </c>
      <c r="G151" s="3">
        <f>D151+F151</f>
        <v/>
      </c>
      <c r="H151" s="3">
        <f>"입력"!B6</f>
        <v/>
      </c>
      <c r="I151" s="3">
        <f>G151*H151</f>
        <v/>
      </c>
      <c r="J151" s="7">
        <f>IF(A151="","",A151-WEEKDAY(A151,2)+1)</f>
        <v/>
      </c>
      <c r="K151" s="3">
        <f>IF(A151="","",SUMIFS($G:$G,$J:$J,J151))</f>
        <v/>
      </c>
      <c r="L151" s="3">
        <f>IF(A151="","",COUNTIFS($J:$J,J151,$G:$G,"&gt;0"))</f>
        <v/>
      </c>
      <c r="M151" s="3">
        <f>IF(A151="","",IF(K151&gt;=15,"Y","N"))</f>
        <v/>
      </c>
      <c r="N151" s="3">
        <f>IF(A151="","",IF(M151="Y",K151/"입력"!B9,0))</f>
        <v/>
      </c>
      <c r="O151" s="3">
        <f>IF(A151="","",IF(A151=J151,N151*H151,0))</f>
        <v/>
      </c>
      <c r="P151" s="3" t="inlineStr"/>
    </row>
    <row r="152">
      <c r="A152" s="7">
        <f>IF(ROW()-1&lt;=("입력"!B5-"입력"!B4+1),"입력"!B4+ROW()-2,"")</f>
        <v/>
      </c>
      <c r="B152" s="3">
        <f>IF(A152="","",TEXT(A152,"aaa"))</f>
        <v/>
      </c>
      <c r="C152" s="3">
        <f>IF(A152="","",IF(NETWORKDAYS.INTL(A152,A152,"입력"!B11,"공휴일"!A:A)=1,"평일","휴일"))</f>
        <v/>
      </c>
      <c r="D152" s="3" t="n">
        <v>0</v>
      </c>
      <c r="E152" s="3" t="n">
        <v>0</v>
      </c>
      <c r="F152" s="3">
        <f>IF("입력"!B7="Y",E152,0)</f>
        <v/>
      </c>
      <c r="G152" s="3">
        <f>D152+F152</f>
        <v/>
      </c>
      <c r="H152" s="3">
        <f>"입력"!B6</f>
        <v/>
      </c>
      <c r="I152" s="3">
        <f>G152*H152</f>
        <v/>
      </c>
      <c r="J152" s="7">
        <f>IF(A152="","",A152-WEEKDAY(A152,2)+1)</f>
        <v/>
      </c>
      <c r="K152" s="3">
        <f>IF(A152="","",SUMIFS($G:$G,$J:$J,J152))</f>
        <v/>
      </c>
      <c r="L152" s="3">
        <f>IF(A152="","",COUNTIFS($J:$J,J152,$G:$G,"&gt;0"))</f>
        <v/>
      </c>
      <c r="M152" s="3">
        <f>IF(A152="","",IF(K152&gt;=15,"Y","N"))</f>
        <v/>
      </c>
      <c r="N152" s="3">
        <f>IF(A152="","",IF(M152="Y",K152/"입력"!B9,0))</f>
        <v/>
      </c>
      <c r="O152" s="3">
        <f>IF(A152="","",IF(A152=J152,N152*H152,0))</f>
        <v/>
      </c>
      <c r="P152" s="3" t="inlineStr"/>
    </row>
    <row r="153">
      <c r="A153" s="7">
        <f>IF(ROW()-1&lt;=("입력"!B5-"입력"!B4+1),"입력"!B4+ROW()-2,"")</f>
        <v/>
      </c>
      <c r="B153" s="3">
        <f>IF(A153="","",TEXT(A153,"aaa"))</f>
        <v/>
      </c>
      <c r="C153" s="3">
        <f>IF(A153="","",IF(NETWORKDAYS.INTL(A153,A153,"입력"!B11,"공휴일"!A:A)=1,"평일","휴일"))</f>
        <v/>
      </c>
      <c r="D153" s="3" t="n">
        <v>0</v>
      </c>
      <c r="E153" s="3" t="n">
        <v>0</v>
      </c>
      <c r="F153" s="3">
        <f>IF("입력"!B7="Y",E153,0)</f>
        <v/>
      </c>
      <c r="G153" s="3">
        <f>D153+F153</f>
        <v/>
      </c>
      <c r="H153" s="3">
        <f>"입력"!B6</f>
        <v/>
      </c>
      <c r="I153" s="3">
        <f>G153*H153</f>
        <v/>
      </c>
      <c r="J153" s="7">
        <f>IF(A153="","",A153-WEEKDAY(A153,2)+1)</f>
        <v/>
      </c>
      <c r="K153" s="3">
        <f>IF(A153="","",SUMIFS($G:$G,$J:$J,J153))</f>
        <v/>
      </c>
      <c r="L153" s="3">
        <f>IF(A153="","",COUNTIFS($J:$J,J153,$G:$G,"&gt;0"))</f>
        <v/>
      </c>
      <c r="M153" s="3">
        <f>IF(A153="","",IF(K153&gt;=15,"Y","N"))</f>
        <v/>
      </c>
      <c r="N153" s="3">
        <f>IF(A153="","",IF(M153="Y",K153/"입력"!B9,0))</f>
        <v/>
      </c>
      <c r="O153" s="3">
        <f>IF(A153="","",IF(A153=J153,N153*H153,0))</f>
        <v/>
      </c>
      <c r="P153" s="3" t="inlineStr"/>
    </row>
    <row r="154">
      <c r="A154" s="7">
        <f>IF(ROW()-1&lt;=("입력"!B5-"입력"!B4+1),"입력"!B4+ROW()-2,"")</f>
        <v/>
      </c>
      <c r="B154" s="3">
        <f>IF(A154="","",TEXT(A154,"aaa"))</f>
        <v/>
      </c>
      <c r="C154" s="3">
        <f>IF(A154="","",IF(NETWORKDAYS.INTL(A154,A154,"입력"!B11,"공휴일"!A:A)=1,"평일","휴일"))</f>
        <v/>
      </c>
      <c r="D154" s="3" t="n">
        <v>0</v>
      </c>
      <c r="E154" s="3" t="n">
        <v>0</v>
      </c>
      <c r="F154" s="3">
        <f>IF("입력"!B7="Y",E154,0)</f>
        <v/>
      </c>
      <c r="G154" s="3">
        <f>D154+F154</f>
        <v/>
      </c>
      <c r="H154" s="3">
        <f>"입력"!B6</f>
        <v/>
      </c>
      <c r="I154" s="3">
        <f>G154*H154</f>
        <v/>
      </c>
      <c r="J154" s="7">
        <f>IF(A154="","",A154-WEEKDAY(A154,2)+1)</f>
        <v/>
      </c>
      <c r="K154" s="3">
        <f>IF(A154="","",SUMIFS($G:$G,$J:$J,J154))</f>
        <v/>
      </c>
      <c r="L154" s="3">
        <f>IF(A154="","",COUNTIFS($J:$J,J154,$G:$G,"&gt;0"))</f>
        <v/>
      </c>
      <c r="M154" s="3">
        <f>IF(A154="","",IF(K154&gt;=15,"Y","N"))</f>
        <v/>
      </c>
      <c r="N154" s="3">
        <f>IF(A154="","",IF(M154="Y",K154/"입력"!B9,0))</f>
        <v/>
      </c>
      <c r="O154" s="3">
        <f>IF(A154="","",IF(A154=J154,N154*H154,0))</f>
        <v/>
      </c>
      <c r="P154" s="3" t="inlineStr"/>
    </row>
    <row r="155">
      <c r="A155" s="7">
        <f>IF(ROW()-1&lt;=("입력"!B5-"입력"!B4+1),"입력"!B4+ROW()-2,"")</f>
        <v/>
      </c>
      <c r="B155" s="3">
        <f>IF(A155="","",TEXT(A155,"aaa"))</f>
        <v/>
      </c>
      <c r="C155" s="3">
        <f>IF(A155="","",IF(NETWORKDAYS.INTL(A155,A155,"입력"!B11,"공휴일"!A:A)=1,"평일","휴일"))</f>
        <v/>
      </c>
      <c r="D155" s="3" t="n">
        <v>0</v>
      </c>
      <c r="E155" s="3" t="n">
        <v>0</v>
      </c>
      <c r="F155" s="3">
        <f>IF("입력"!B7="Y",E155,0)</f>
        <v/>
      </c>
      <c r="G155" s="3">
        <f>D155+F155</f>
        <v/>
      </c>
      <c r="H155" s="3">
        <f>"입력"!B6</f>
        <v/>
      </c>
      <c r="I155" s="3">
        <f>G155*H155</f>
        <v/>
      </c>
      <c r="J155" s="7">
        <f>IF(A155="","",A155-WEEKDAY(A155,2)+1)</f>
        <v/>
      </c>
      <c r="K155" s="3">
        <f>IF(A155="","",SUMIFS($G:$G,$J:$J,J155))</f>
        <v/>
      </c>
      <c r="L155" s="3">
        <f>IF(A155="","",COUNTIFS($J:$J,J155,$G:$G,"&gt;0"))</f>
        <v/>
      </c>
      <c r="M155" s="3">
        <f>IF(A155="","",IF(K155&gt;=15,"Y","N"))</f>
        <v/>
      </c>
      <c r="N155" s="3">
        <f>IF(A155="","",IF(M155="Y",K155/"입력"!B9,0))</f>
        <v/>
      </c>
      <c r="O155" s="3">
        <f>IF(A155="","",IF(A155=J155,N155*H155,0))</f>
        <v/>
      </c>
      <c r="P155" s="3" t="inlineStr"/>
    </row>
    <row r="156">
      <c r="A156" s="7">
        <f>IF(ROW()-1&lt;=("입력"!B5-"입력"!B4+1),"입력"!B4+ROW()-2,"")</f>
        <v/>
      </c>
      <c r="B156" s="3">
        <f>IF(A156="","",TEXT(A156,"aaa"))</f>
        <v/>
      </c>
      <c r="C156" s="3">
        <f>IF(A156="","",IF(NETWORKDAYS.INTL(A156,A156,"입력"!B11,"공휴일"!A:A)=1,"평일","휴일"))</f>
        <v/>
      </c>
      <c r="D156" s="3" t="n">
        <v>0</v>
      </c>
      <c r="E156" s="3" t="n">
        <v>0</v>
      </c>
      <c r="F156" s="3">
        <f>IF("입력"!B7="Y",E156,0)</f>
        <v/>
      </c>
      <c r="G156" s="3">
        <f>D156+F156</f>
        <v/>
      </c>
      <c r="H156" s="3">
        <f>"입력"!B6</f>
        <v/>
      </c>
      <c r="I156" s="3">
        <f>G156*H156</f>
        <v/>
      </c>
      <c r="J156" s="7">
        <f>IF(A156="","",A156-WEEKDAY(A156,2)+1)</f>
        <v/>
      </c>
      <c r="K156" s="3">
        <f>IF(A156="","",SUMIFS($G:$G,$J:$J,J156))</f>
        <v/>
      </c>
      <c r="L156" s="3">
        <f>IF(A156="","",COUNTIFS($J:$J,J156,$G:$G,"&gt;0"))</f>
        <v/>
      </c>
      <c r="M156" s="3">
        <f>IF(A156="","",IF(K156&gt;=15,"Y","N"))</f>
        <v/>
      </c>
      <c r="N156" s="3">
        <f>IF(A156="","",IF(M156="Y",K156/"입력"!B9,0))</f>
        <v/>
      </c>
      <c r="O156" s="3">
        <f>IF(A156="","",IF(A156=J156,N156*H156,0))</f>
        <v/>
      </c>
      <c r="P156" s="3" t="inlineStr"/>
    </row>
    <row r="157">
      <c r="A157" s="7">
        <f>IF(ROW()-1&lt;=("입력"!B5-"입력"!B4+1),"입력"!B4+ROW()-2,"")</f>
        <v/>
      </c>
      <c r="B157" s="3">
        <f>IF(A157="","",TEXT(A157,"aaa"))</f>
        <v/>
      </c>
      <c r="C157" s="3">
        <f>IF(A157="","",IF(NETWORKDAYS.INTL(A157,A157,"입력"!B11,"공휴일"!A:A)=1,"평일","휴일"))</f>
        <v/>
      </c>
      <c r="D157" s="3" t="n">
        <v>0</v>
      </c>
      <c r="E157" s="3" t="n">
        <v>0</v>
      </c>
      <c r="F157" s="3">
        <f>IF("입력"!B7="Y",E157,0)</f>
        <v/>
      </c>
      <c r="G157" s="3">
        <f>D157+F157</f>
        <v/>
      </c>
      <c r="H157" s="3">
        <f>"입력"!B6</f>
        <v/>
      </c>
      <c r="I157" s="3">
        <f>G157*H157</f>
        <v/>
      </c>
      <c r="J157" s="7">
        <f>IF(A157="","",A157-WEEKDAY(A157,2)+1)</f>
        <v/>
      </c>
      <c r="K157" s="3">
        <f>IF(A157="","",SUMIFS($G:$G,$J:$J,J157))</f>
        <v/>
      </c>
      <c r="L157" s="3">
        <f>IF(A157="","",COUNTIFS($J:$J,J157,$G:$G,"&gt;0"))</f>
        <v/>
      </c>
      <c r="M157" s="3">
        <f>IF(A157="","",IF(K157&gt;=15,"Y","N"))</f>
        <v/>
      </c>
      <c r="N157" s="3">
        <f>IF(A157="","",IF(M157="Y",K157/"입력"!B9,0))</f>
        <v/>
      </c>
      <c r="O157" s="3">
        <f>IF(A157="","",IF(A157=J157,N157*H157,0))</f>
        <v/>
      </c>
      <c r="P157" s="3" t="inlineStr"/>
    </row>
    <row r="158">
      <c r="A158" s="7">
        <f>IF(ROW()-1&lt;=("입력"!B5-"입력"!B4+1),"입력"!B4+ROW()-2,"")</f>
        <v/>
      </c>
      <c r="B158" s="3">
        <f>IF(A158="","",TEXT(A158,"aaa"))</f>
        <v/>
      </c>
      <c r="C158" s="3">
        <f>IF(A158="","",IF(NETWORKDAYS.INTL(A158,A158,"입력"!B11,"공휴일"!A:A)=1,"평일","휴일"))</f>
        <v/>
      </c>
      <c r="D158" s="3" t="n">
        <v>0</v>
      </c>
      <c r="E158" s="3" t="n">
        <v>0</v>
      </c>
      <c r="F158" s="3">
        <f>IF("입력"!B7="Y",E158,0)</f>
        <v/>
      </c>
      <c r="G158" s="3">
        <f>D158+F158</f>
        <v/>
      </c>
      <c r="H158" s="3">
        <f>"입력"!B6</f>
        <v/>
      </c>
      <c r="I158" s="3">
        <f>G158*H158</f>
        <v/>
      </c>
      <c r="J158" s="7">
        <f>IF(A158="","",A158-WEEKDAY(A158,2)+1)</f>
        <v/>
      </c>
      <c r="K158" s="3">
        <f>IF(A158="","",SUMIFS($G:$G,$J:$J,J158))</f>
        <v/>
      </c>
      <c r="L158" s="3">
        <f>IF(A158="","",COUNTIFS($J:$J,J158,$G:$G,"&gt;0"))</f>
        <v/>
      </c>
      <c r="M158" s="3">
        <f>IF(A158="","",IF(K158&gt;=15,"Y","N"))</f>
        <v/>
      </c>
      <c r="N158" s="3">
        <f>IF(A158="","",IF(M158="Y",K158/"입력"!B9,0))</f>
        <v/>
      </c>
      <c r="O158" s="3">
        <f>IF(A158="","",IF(A158=J158,N158*H158,0))</f>
        <v/>
      </c>
      <c r="P158" s="3" t="inlineStr"/>
    </row>
    <row r="159">
      <c r="A159" s="7">
        <f>IF(ROW()-1&lt;=("입력"!B5-"입력"!B4+1),"입력"!B4+ROW()-2,"")</f>
        <v/>
      </c>
      <c r="B159" s="3">
        <f>IF(A159="","",TEXT(A159,"aaa"))</f>
        <v/>
      </c>
      <c r="C159" s="3">
        <f>IF(A159="","",IF(NETWORKDAYS.INTL(A159,A159,"입력"!B11,"공휴일"!A:A)=1,"평일","휴일"))</f>
        <v/>
      </c>
      <c r="D159" s="3" t="n">
        <v>0</v>
      </c>
      <c r="E159" s="3" t="n">
        <v>0</v>
      </c>
      <c r="F159" s="3">
        <f>IF("입력"!B7="Y",E159,0)</f>
        <v/>
      </c>
      <c r="G159" s="3">
        <f>D159+F159</f>
        <v/>
      </c>
      <c r="H159" s="3">
        <f>"입력"!B6</f>
        <v/>
      </c>
      <c r="I159" s="3">
        <f>G159*H159</f>
        <v/>
      </c>
      <c r="J159" s="7">
        <f>IF(A159="","",A159-WEEKDAY(A159,2)+1)</f>
        <v/>
      </c>
      <c r="K159" s="3">
        <f>IF(A159="","",SUMIFS($G:$G,$J:$J,J159))</f>
        <v/>
      </c>
      <c r="L159" s="3">
        <f>IF(A159="","",COUNTIFS($J:$J,J159,$G:$G,"&gt;0"))</f>
        <v/>
      </c>
      <c r="M159" s="3">
        <f>IF(A159="","",IF(K159&gt;=15,"Y","N"))</f>
        <v/>
      </c>
      <c r="N159" s="3">
        <f>IF(A159="","",IF(M159="Y",K159/"입력"!B9,0))</f>
        <v/>
      </c>
      <c r="O159" s="3">
        <f>IF(A159="","",IF(A159=J159,N159*H159,0))</f>
        <v/>
      </c>
      <c r="P159" s="3" t="inlineStr"/>
    </row>
    <row r="160">
      <c r="A160" s="7">
        <f>IF(ROW()-1&lt;=("입력"!B5-"입력"!B4+1),"입력"!B4+ROW()-2,"")</f>
        <v/>
      </c>
      <c r="B160" s="3">
        <f>IF(A160="","",TEXT(A160,"aaa"))</f>
        <v/>
      </c>
      <c r="C160" s="3">
        <f>IF(A160="","",IF(NETWORKDAYS.INTL(A160,A160,"입력"!B11,"공휴일"!A:A)=1,"평일","휴일"))</f>
        <v/>
      </c>
      <c r="D160" s="3" t="n">
        <v>0</v>
      </c>
      <c r="E160" s="3" t="n">
        <v>0</v>
      </c>
      <c r="F160" s="3">
        <f>IF("입력"!B7="Y",E160,0)</f>
        <v/>
      </c>
      <c r="G160" s="3">
        <f>D160+F160</f>
        <v/>
      </c>
      <c r="H160" s="3">
        <f>"입력"!B6</f>
        <v/>
      </c>
      <c r="I160" s="3">
        <f>G160*H160</f>
        <v/>
      </c>
      <c r="J160" s="7">
        <f>IF(A160="","",A160-WEEKDAY(A160,2)+1)</f>
        <v/>
      </c>
      <c r="K160" s="3">
        <f>IF(A160="","",SUMIFS($G:$G,$J:$J,J160))</f>
        <v/>
      </c>
      <c r="L160" s="3">
        <f>IF(A160="","",COUNTIFS($J:$J,J160,$G:$G,"&gt;0"))</f>
        <v/>
      </c>
      <c r="M160" s="3">
        <f>IF(A160="","",IF(K160&gt;=15,"Y","N"))</f>
        <v/>
      </c>
      <c r="N160" s="3">
        <f>IF(A160="","",IF(M160="Y",K160/"입력"!B9,0))</f>
        <v/>
      </c>
      <c r="O160" s="3">
        <f>IF(A160="","",IF(A160=J160,N160*H160,0))</f>
        <v/>
      </c>
      <c r="P160" s="3" t="inlineStr"/>
    </row>
    <row r="161">
      <c r="A161" s="7">
        <f>IF(ROW()-1&lt;=("입력"!B5-"입력"!B4+1),"입력"!B4+ROW()-2,"")</f>
        <v/>
      </c>
      <c r="B161" s="3">
        <f>IF(A161="","",TEXT(A161,"aaa"))</f>
        <v/>
      </c>
      <c r="C161" s="3">
        <f>IF(A161="","",IF(NETWORKDAYS.INTL(A161,A161,"입력"!B11,"공휴일"!A:A)=1,"평일","휴일"))</f>
        <v/>
      </c>
      <c r="D161" s="3" t="n">
        <v>0</v>
      </c>
      <c r="E161" s="3" t="n">
        <v>0</v>
      </c>
      <c r="F161" s="3">
        <f>IF("입력"!B7="Y",E161,0)</f>
        <v/>
      </c>
      <c r="G161" s="3">
        <f>D161+F161</f>
        <v/>
      </c>
      <c r="H161" s="3">
        <f>"입력"!B6</f>
        <v/>
      </c>
      <c r="I161" s="3">
        <f>G161*H161</f>
        <v/>
      </c>
      <c r="J161" s="7">
        <f>IF(A161="","",A161-WEEKDAY(A161,2)+1)</f>
        <v/>
      </c>
      <c r="K161" s="3">
        <f>IF(A161="","",SUMIFS($G:$G,$J:$J,J161))</f>
        <v/>
      </c>
      <c r="L161" s="3">
        <f>IF(A161="","",COUNTIFS($J:$J,J161,$G:$G,"&gt;0"))</f>
        <v/>
      </c>
      <c r="M161" s="3">
        <f>IF(A161="","",IF(K161&gt;=15,"Y","N"))</f>
        <v/>
      </c>
      <c r="N161" s="3">
        <f>IF(A161="","",IF(M161="Y",K161/"입력"!B9,0))</f>
        <v/>
      </c>
      <c r="O161" s="3">
        <f>IF(A161="","",IF(A161=J161,N161*H161,0))</f>
        <v/>
      </c>
      <c r="P161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1" t="inlineStr">
        <is>
          <t>요약 및 예산 비교</t>
        </is>
      </c>
    </row>
    <row r="3">
      <c r="A3" s="2" t="inlineStr">
        <is>
          <t>주중 임금 합계(원)</t>
        </is>
      </c>
      <c r="B3" s="3">
        <f>SUM("근무표"!I2:I161)</f>
        <v/>
      </c>
    </row>
    <row r="4">
      <c r="A4" s="2" t="inlineStr">
        <is>
          <t>주휴수당 합계(원)</t>
        </is>
      </c>
      <c r="B4" s="3">
        <f>SUM("근무표"!O2:O161)</f>
        <v/>
      </c>
    </row>
    <row r="5">
      <c r="A5" s="2" t="inlineStr">
        <is>
          <t>총합(원)</t>
        </is>
      </c>
      <c r="B5" s="3">
        <f>B3+B4</f>
        <v/>
      </c>
    </row>
    <row r="6">
      <c r="A6" s="8" t="n"/>
      <c r="B6" s="3" t="n"/>
    </row>
    <row r="7">
      <c r="A7" s="2" t="inlineStr">
        <is>
          <t>주중 인건비 예산(원)</t>
        </is>
      </c>
      <c r="B7" s="3">
        <f>"입력"!B2</f>
        <v/>
      </c>
    </row>
    <row r="8">
      <c r="A8" s="2" t="inlineStr">
        <is>
          <t>주휴수당 예산(원)</t>
        </is>
      </c>
      <c r="B8" s="3">
        <f>"입력"!B3</f>
        <v/>
      </c>
    </row>
    <row r="9">
      <c r="A9" s="2" t="inlineStr">
        <is>
          <t>주중 예산 잔액(원)</t>
        </is>
      </c>
      <c r="B9" s="3">
        <f>B7-B3</f>
        <v/>
      </c>
    </row>
    <row r="10">
      <c r="A10" s="2" t="inlineStr">
        <is>
          <t>주휴 예산 잔액(원)</t>
        </is>
      </c>
      <c r="B10" s="3">
        <f>B8-B4</f>
        <v/>
      </c>
    </row>
    <row r="11">
      <c r="A11" s="2" t="inlineStr">
        <is>
          <t>총 예산 잔액(원)</t>
        </is>
      </c>
      <c r="B11" s="3">
        <f>B7+B8-B5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2025-11-12T09:33:55Z</dcterms:created>
  <dcterms:modified xmlns:dcterms="http://purl.org/dc/terms/" xmlns:xsi="http://www.w3.org/2001/XMLSchema-instance" xsi:type="dcterms:W3CDTF">2025-11-12T09:33:55Z</dcterms:modified>
</cp:coreProperties>
</file>